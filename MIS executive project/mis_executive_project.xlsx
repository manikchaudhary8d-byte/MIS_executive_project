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
    </mc:Choice>
  </mc:AlternateContent>
  <xr:revisionPtr revIDLastSave="0" documentId="13_ncr:1_{DF11CAE2-3AEE-45B3-B69E-9FAE658357F8}" xr6:coauthVersionLast="47" xr6:coauthVersionMax="47" xr10:uidLastSave="{00000000-0000-0000-0000-000000000000}"/>
  <bookViews>
    <workbookView xWindow="-108" yWindow="-108" windowWidth="23256" windowHeight="12456" firstSheet="1" activeTab="1" xr2:uid="{00000000-000D-0000-FFFF-FFFF00000000}"/>
  </bookViews>
  <sheets>
    <sheet name="pivot table 1" sheetId="5" state="hidden" r:id="rId1"/>
    <sheet name="Dashboard" sheetId="6" r:id="rId2"/>
    <sheet name="Sheet3" sheetId="7" state="hidden" r:id="rId3"/>
    <sheet name="Sheet4" sheetId="8" state="hidden" r:id="rId4"/>
    <sheet name="Sheet5" sheetId="9" state="hidden" r:id="rId5"/>
    <sheet name="SALES DATA" sheetId="1" r:id="rId6"/>
    <sheet name="VLOOKUP" sheetId="2" r:id="rId7"/>
  </sheets>
  <definedNames>
    <definedName name="Slicer_Product_Category">#N/A</definedName>
    <definedName name="Slicer_Region">#N/A</definedName>
    <definedName name="Slicer_Salesperson">#N/A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a="1"/>
  <c r="T2" i="1" s="1"/>
  <c r="R11" i="1"/>
  <c r="R7" i="1"/>
  <c r="AJ7" i="1" a="1"/>
  <c r="AJ7" i="1" s="1"/>
  <c r="F3" i="2"/>
  <c r="F4" i="2"/>
  <c r="F5" i="2"/>
  <c r="F6" i="2"/>
  <c r="F7" i="2"/>
  <c r="F8" i="2"/>
  <c r="F9" i="2"/>
  <c r="F10" i="2"/>
  <c r="F11" i="2"/>
  <c r="F12" i="2"/>
  <c r="F13" i="2"/>
  <c r="F14" i="2"/>
  <c r="F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<sst xmlns="http://schemas.openxmlformats.org/spreadsheetml/2006/main" count="796" uniqueCount="73">
  <si>
    <t>Order ID</t>
  </si>
  <si>
    <t>Order Date</t>
  </si>
  <si>
    <t>Customer Name</t>
  </si>
  <si>
    <t>City</t>
  </si>
  <si>
    <t>State</t>
  </si>
  <si>
    <t>Region</t>
  </si>
  <si>
    <t>Product Category</t>
  </si>
  <si>
    <t>Product Name</t>
  </si>
  <si>
    <t>Salesperson</t>
  </si>
  <si>
    <t>Quantity</t>
  </si>
  <si>
    <t>Price per Unit</t>
  </si>
  <si>
    <t>Discount (%)</t>
  </si>
  <si>
    <t>Sales Amount</t>
  </si>
  <si>
    <t>Profit</t>
  </si>
  <si>
    <t>Rohit Das</t>
  </si>
  <si>
    <t>Hyderabad</t>
  </si>
  <si>
    <t>Telangana</t>
  </si>
  <si>
    <t>South</t>
  </si>
  <si>
    <t>Electronics</t>
  </si>
  <si>
    <t>Headphones</t>
  </si>
  <si>
    <t>Arjun</t>
  </si>
  <si>
    <t>Neha Gupta</t>
  </si>
  <si>
    <t>Mumbai</t>
  </si>
  <si>
    <t>Maharashtra</t>
  </si>
  <si>
    <t>West</t>
  </si>
  <si>
    <t>Furniture</t>
  </si>
  <si>
    <t>Sofa</t>
  </si>
  <si>
    <t>Simran</t>
  </si>
  <si>
    <t>Lucknow</t>
  </si>
  <si>
    <t>Uttar Pradesh</t>
  </si>
  <si>
    <t>North</t>
  </si>
  <si>
    <t>Clothing</t>
  </si>
  <si>
    <t>T-Shirt</t>
  </si>
  <si>
    <t>Vikas</t>
  </si>
  <si>
    <t>Priya Verma</t>
  </si>
  <si>
    <t>Chennai</t>
  </si>
  <si>
    <t>Tamil Nadu</t>
  </si>
  <si>
    <t>Jeans</t>
  </si>
  <si>
    <t>Raj</t>
  </si>
  <si>
    <t>Arjun Mehta</t>
  </si>
  <si>
    <t>Laptop</t>
  </si>
  <si>
    <t>Rahul Singh</t>
  </si>
  <si>
    <t>Bangalore</t>
  </si>
  <si>
    <t>Karnataka</t>
  </si>
  <si>
    <t>Table</t>
  </si>
  <si>
    <t>Neha</t>
  </si>
  <si>
    <t>Sneha Iyer</t>
  </si>
  <si>
    <t>Kolkata</t>
  </si>
  <si>
    <t>West Bengal</t>
  </si>
  <si>
    <t>East</t>
  </si>
  <si>
    <t>Chair</t>
  </si>
  <si>
    <t>Pooja</t>
  </si>
  <si>
    <t>Karan Malhotra</t>
  </si>
  <si>
    <t>Patna</t>
  </si>
  <si>
    <t>Bihar</t>
  </si>
  <si>
    <t>Pooja Nair</t>
  </si>
  <si>
    <t>Vikas Yadav</t>
  </si>
  <si>
    <t>Ahmedabad</t>
  </si>
  <si>
    <t>Gujarat</t>
  </si>
  <si>
    <t>Jaipur</t>
  </si>
  <si>
    <t>Rajasthan</t>
  </si>
  <si>
    <t>Jacket</t>
  </si>
  <si>
    <t>TV</t>
  </si>
  <si>
    <t>Amit Sharma</t>
  </si>
  <si>
    <t>Mobile</t>
  </si>
  <si>
    <t>Delhi</t>
  </si>
  <si>
    <t>Row Labels</t>
  </si>
  <si>
    <t>Grand Total</t>
  </si>
  <si>
    <t>Total Sales</t>
  </si>
  <si>
    <t>Total Quantity</t>
  </si>
  <si>
    <t>Sum of Profit</t>
  </si>
  <si>
    <t>Sum of Quantity</t>
  </si>
  <si>
    <t>Sum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</si>
</sst>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3"/>
        <bgColor indexed="64"/>
      </patternFill>
    </fill>
  </fills>
  <borders count="5">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xfId="0"/>
    <xf numFmtId="14"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Fill="1" applyBorder="1"/>
    <xf numFmtId="0" fontId="0" fillId="4" borderId="4" xfId="0" applyFill="1" applyBorder="1"/>
    <xf numFmtId="0" fontId="0" fillId="0" borderId="0" xfId="0" applyAlignment="1">
      <alignment horizontal="right"/>
    </xf>
    <xf numFmtId="0" fontId="0" fillId="0" borderId="0" xfId="0" pivotButton="1"/>
    <xf numFmtId="0" fontId="0" fillId="0" borderId="0" xfId="0" applyAlignment="1">
      <alignment horizontal="left"/>
    </xf>
    <xf numFmtId="0" fontId="0" fillId="5" borderId="0" xfId="0" applyFill="1"/>
    <xf numFmtId="0" fontId="0" fillId="0" borderId="0" xfId="0" applyNumberFormat="1"/>
    <xf numFmtId="0" fontId="0" fillId="6" borderId="0" xfId="0" applyFill="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[mis_executive_project.xlsx]pivot table 1!PivotTable1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t>
            </a:r>
            <a:r>
              <a:rPr lang="en-US" baseline="0"/>
              <a:t> wise profit share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pieChart>
        <c:varyColors val="1"/>
        <c:ser>
          <c:idx val="0"/>
          <c:order val="0"/>
          <c:tx>
            <c:strRef>
              <c:f>'pivot table 1'!$B$3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931B-4716-88F3-98C0FCEFA3F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931B-4716-88F3-98C0FCEFA3F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931B-4716-88F3-98C0FCEFA3F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931B-4716-88F3-98C0FCEFA3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 1'!$A$4:$A$8</c:f>
              <c:strCache>
                <c:ptCount val="4"/>
                <c:pt idx="0">
                  <c:v>East</c:v>
                </c:pt>
                <c:pt idx="1">
                  <c:v>North</c:v>
                </c:pt>
                <c:pt idx="2">
                  <c:v>South</c:v>
                </c:pt>
                <c:pt idx="3">
                  <c:v>West</c:v>
                </c:pt>
              </c:strCache>
            </c:strRef>
          </c:cat>
          <c:val>
            <c:numRef>
              <c:f>'pivot table 1'!$B$4:$B$8</c:f>
              <c:numCache>
                <c:formatCode>General</c:formatCode>
                <c:ptCount val="4"/>
                <c:pt idx="0">
                  <c:v>136775.25</c:v>
                </c:pt>
                <c:pt idx="1">
                  <c:v>251970.35</c:v>
                </c:pt>
                <c:pt idx="2">
                  <c:v>186629.45</c:v>
                </c:pt>
                <c:pt idx="3">
                  <c:v>145285.79999999999</c:v>
                </c:pt>
              </c:numCache>
            </c:numRef>
          </c:val>
          <c:extLst>
            <c:ext xmlns:c16="http://schemas.microsoft.com/office/drawing/2014/chart" uri="{C3380CC4-5D6E-409C-BE32-E72D297353CC}">
              <c16:uniqueId val="{00000008-931B-4716-88F3-98C0FCEFA3F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[mis_executive_project.xlsx]Sheet3!PivotTable2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Category wise total quantity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Sheet3!$A$4:$A$7</c:f>
              <c:strCache>
                <c:ptCount val="3"/>
                <c:pt idx="0">
                  <c:v>Clothing</c:v>
                </c:pt>
                <c:pt idx="1">
                  <c:v>Electronics</c:v>
                </c:pt>
                <c:pt idx="2">
                  <c:v>Furniture</c:v>
                </c:pt>
              </c:strCache>
            </c:strRef>
          </c:cat>
          <c:val>
            <c:numRef>
              <c:f>Sheet3!$B$4:$B$7</c:f>
              <c:numCache>
                <c:formatCode>General</c:formatCode>
                <c:ptCount val="3"/>
                <c:pt idx="0">
                  <c:v>77</c:v>
                </c:pt>
                <c:pt idx="1">
                  <c:v>129</c:v>
                </c:pt>
                <c:pt idx="2">
                  <c:v>92</c:v>
                </c:pt>
              </c:numCache>
            </c:numRef>
          </c:val>
          <c:extLst>
            <c:ext xmlns:c16="http://schemas.microsoft.com/office/drawing/2014/chart" uri="{C3380CC4-5D6E-409C-BE32-E72D297353CC}">
              <c16:uniqueId val="{00000000-0D27-47A5-BE67-7F25A42861B4}"/>
            </c:ext>
          </c:extLst>
        </c:ser>
        <c:dLbls>
          <c:showLegendKey val="0"/>
          <c:showVal val="0"/>
          <c:showCatName val="0"/>
          <c:showSerName val="0"/>
          <c:showPercent val="0"/>
          <c:showBubbleSize val="0"/>
        </c:dLbls>
        <c:gapWidth val="269"/>
        <c:overlap val="-20"/>
        <c:axId val="495458784"/>
        <c:axId val="495466464"/>
      </c:barChart>
      <c:catAx>
        <c:axId val="49545878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95466464"/>
        <c:crosses val="autoZero"/>
        <c:auto val="1"/>
        <c:lblAlgn val="ctr"/>
        <c:lblOffset val="100"/>
        <c:noMultiLvlLbl val="0"/>
      </c:catAx>
      <c:valAx>
        <c:axId val="49546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545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[mis_executive_project.xlsx]Sheet4!PivotTable3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Quantity by Salesperson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Sheet4!$A$4:$A$10</c:f>
              <c:strCache>
                <c:ptCount val="6"/>
                <c:pt idx="0">
                  <c:v>Arjun</c:v>
                </c:pt>
                <c:pt idx="1">
                  <c:v>Neha</c:v>
                </c:pt>
                <c:pt idx="2">
                  <c:v>Pooja</c:v>
                </c:pt>
                <c:pt idx="3">
                  <c:v>Raj</c:v>
                </c:pt>
                <c:pt idx="4">
                  <c:v>Simran</c:v>
                </c:pt>
                <c:pt idx="5">
                  <c:v>Vikas</c:v>
                </c:pt>
              </c:strCache>
            </c:strRef>
          </c:cat>
          <c:val>
            <c:numRef>
              <c:f>Sheet4!$B$4:$B$10</c:f>
              <c:numCache>
                <c:formatCode>General</c:formatCode>
                <c:ptCount val="6"/>
                <c:pt idx="0">
                  <c:v>47</c:v>
                </c:pt>
                <c:pt idx="1">
                  <c:v>36</c:v>
                </c:pt>
                <c:pt idx="2">
                  <c:v>42</c:v>
                </c:pt>
                <c:pt idx="3">
                  <c:v>57</c:v>
                </c:pt>
                <c:pt idx="4">
                  <c:v>67</c:v>
                </c:pt>
                <c:pt idx="5">
                  <c:v>49</c:v>
                </c:pt>
              </c:numCache>
            </c:numRef>
          </c:val>
          <c:extLst>
            <c:ext xmlns:c16="http://schemas.microsoft.com/office/drawing/2014/chart" uri="{C3380CC4-5D6E-409C-BE32-E72D297353CC}">
              <c16:uniqueId val="{00000000-8178-4831-B428-047AF6AA2B2A}"/>
            </c:ext>
          </c:extLst>
        </c:ser>
        <c:dLbls>
          <c:showLegendKey val="0"/>
          <c:showVal val="0"/>
          <c:showCatName val="0"/>
          <c:showSerName val="0"/>
          <c:showPercent val="0"/>
          <c:showBubbleSize val="0"/>
        </c:dLbls>
        <c:gapWidth val="269"/>
        <c:overlap val="-20"/>
        <c:axId val="495459744"/>
        <c:axId val="495461664"/>
      </c:barChart>
      <c:catAx>
        <c:axId val="4954597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95461664"/>
        <c:crosses val="autoZero"/>
        <c:auto val="1"/>
        <c:lblAlgn val="ctr"/>
        <c:lblOffset val="100"/>
        <c:noMultiLvlLbl val="0"/>
      </c:catAx>
      <c:valAx>
        <c:axId val="49546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545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[mis_executive_project.xlsx]Sheet5!PivotTable4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Region Wise Total Sales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2537182852143"/>
          <c:y val="0.2550441090696996"/>
          <c:w val="0.72312270341207352"/>
          <c:h val="0.5406907990667833"/>
        </c:manualLayout>
      </c:layout>
      <c:barChart>
        <c:barDir val="col"/>
        <c:grouping val="clustered"/>
        <c:varyColors val="0"/>
        <c:ser>
          <c:idx val="0"/>
          <c:order val="0"/>
          <c:tx>
            <c:strRef>
              <c:f>Sheet5!$B$3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Sheet5!$A$4:$A$8</c:f>
              <c:strCache>
                <c:ptCount val="4"/>
                <c:pt idx="0">
                  <c:v>East</c:v>
                </c:pt>
                <c:pt idx="1">
                  <c:v>North</c:v>
                </c:pt>
                <c:pt idx="2">
                  <c:v>South</c:v>
                </c:pt>
                <c:pt idx="3">
                  <c:v>West</c:v>
                </c:pt>
              </c:strCache>
            </c:strRef>
          </c:cat>
          <c:val>
            <c:numRef>
              <c:f>Sheet5!$B$4:$B$8</c:f>
              <c:numCache>
                <c:formatCode>General</c:formatCode>
                <c:ptCount val="4"/>
                <c:pt idx="0">
                  <c:v>711810</c:v>
                </c:pt>
                <c:pt idx="1">
                  <c:v>1335940</c:v>
                </c:pt>
                <c:pt idx="2">
                  <c:v>959775</c:v>
                </c:pt>
                <c:pt idx="3">
                  <c:v>759110</c:v>
                </c:pt>
              </c:numCache>
            </c:numRef>
          </c:val>
          <c:extLst>
            <c:ext xmlns:c16="http://schemas.microsoft.com/office/drawing/2014/chart" uri="{C3380CC4-5D6E-409C-BE32-E72D297353CC}">
              <c16:uniqueId val="{00000000-33B4-498C-9FA4-3AF445670308}"/>
            </c:ext>
          </c:extLst>
        </c:ser>
        <c:dLbls>
          <c:showLegendKey val="0"/>
          <c:showVal val="0"/>
          <c:showCatName val="0"/>
          <c:showSerName val="0"/>
          <c:showPercent val="0"/>
          <c:showBubbleSize val="0"/>
        </c:dLbls>
        <c:gapWidth val="269"/>
        <c:overlap val="-20"/>
        <c:axId val="495466944"/>
        <c:axId val="495472224"/>
      </c:barChart>
      <c:catAx>
        <c:axId val="4954669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95472224"/>
        <c:crosses val="autoZero"/>
        <c:auto val="1"/>
        <c:lblAlgn val="ctr"/>
        <c:lblOffset val="100"/>
        <c:noMultiLvlLbl val="0"/>
      </c:catAx>
      <c:valAx>
        <c:axId val="49547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546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8106</xdr:colOff>
      <xdr:row>2</xdr:row>
      <xdr:rowOff>32426</xdr:rowOff>
    </xdr:from>
    <xdr:to>
      <xdr:col>6</xdr:col>
      <xdr:colOff>259404</xdr:colOff>
      <xdr:row>15</xdr:row>
      <xdr:rowOff>110086</xdr:rowOff>
    </xdr:to>
    <xdr:graphicFrame macro="">
      <xdr:nvGraphicFramePr>
        <xdr:cNvPr id="2" name="Chart 1">
          <a:extLst>
            <a:ext uri="{FF2B5EF4-FFF2-40B4-BE49-F238E27FC236}">
              <a16:creationId xmlns:a16="http://schemas.microsoft.com/office/drawing/2014/main" id="{5E0F270A-D8F2-4306-BC97-466EAEC07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221848</xdr:colOff>
      <xdr:row>15</xdr:row>
      <xdr:rowOff>162129</xdr:rowOff>
    </xdr:from>
    <xdr:to>
      <xdr:col>14</xdr:col>
      <xdr:colOff>243194</xdr:colOff>
      <xdr:row>30</xdr:row>
      <xdr:rowOff>135039</xdr:rowOff>
    </xdr:to>
    <xdr:graphicFrame macro="">
      <xdr:nvGraphicFramePr>
        <xdr:cNvPr id="3" name="Chart 2">
          <a:extLst>
            <a:ext uri="{FF2B5EF4-FFF2-40B4-BE49-F238E27FC236}">
              <a16:creationId xmlns:a16="http://schemas.microsoft.com/office/drawing/2014/main" id="{AB63F55E-511C-4287-B1FD-5C00AB3F3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113489</xdr:colOff>
      <xdr:row>30</xdr:row>
      <xdr:rowOff>132945</xdr:rowOff>
    </xdr:to>
    <xdr:graphicFrame macro="">
      <xdr:nvGraphicFramePr>
        <xdr:cNvPr id="4" name="Chart 3">
          <a:extLst>
            <a:ext uri="{FF2B5EF4-FFF2-40B4-BE49-F238E27FC236}">
              <a16:creationId xmlns:a16="http://schemas.microsoft.com/office/drawing/2014/main" id="{917A49D0-B687-4776-8AEC-A25DB9F45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356680</xdr:colOff>
      <xdr:row>1</xdr:row>
      <xdr:rowOff>162126</xdr:rowOff>
    </xdr:from>
    <xdr:to>
      <xdr:col>14</xdr:col>
      <xdr:colOff>218871</xdr:colOff>
      <xdr:row>15</xdr:row>
      <xdr:rowOff>100518</xdr:rowOff>
    </xdr:to>
    <xdr:graphicFrame macro="">
      <xdr:nvGraphicFramePr>
        <xdr:cNvPr id="5" name="Chart 4">
          <a:extLst>
            <a:ext uri="{FF2B5EF4-FFF2-40B4-BE49-F238E27FC236}">
              <a16:creationId xmlns:a16="http://schemas.microsoft.com/office/drawing/2014/main" id="{5B253388-234A-49FE-A556-CE7F74220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429638</xdr:colOff>
      <xdr:row>10</xdr:row>
      <xdr:rowOff>129702</xdr:rowOff>
    </xdr:from>
    <xdr:to>
      <xdr:col>17</xdr:col>
      <xdr:colOff>434502</xdr:colOff>
      <xdr:row>18</xdr:row>
      <xdr:rowOff>154021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5C40E48-3EBD-467B-B7C3-D3B628B53F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37030" y="1962360"/>
              <a:ext cx="1827877" cy="1490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398997</xdr:colOff>
      <xdr:row>19</xdr:row>
      <xdr:rowOff>82847</xdr:rowOff>
    </xdr:from>
    <xdr:to>
      <xdr:col>17</xdr:col>
      <xdr:colOff>403861</xdr:colOff>
      <xdr:row>26</xdr:row>
      <xdr:rowOff>48638</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CF2755B5-94F6-4187-A012-7E8D502A71A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906389" y="3564898"/>
              <a:ext cx="1827877" cy="1248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473737</xdr:colOff>
      <xdr:row>0</xdr:row>
      <xdr:rowOff>40532</xdr:rowOff>
    </xdr:from>
    <xdr:to>
      <xdr:col>17</xdr:col>
      <xdr:colOff>478601</xdr:colOff>
      <xdr:row>10</xdr:row>
      <xdr:rowOff>109923</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A595848A-BB2F-4C37-9D1A-FC1C75F32F5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981129" y="40532"/>
              <a:ext cx="1827877" cy="190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551234</xdr:colOff>
      <xdr:row>0</xdr:row>
      <xdr:rowOff>16213</xdr:rowOff>
    </xdr:from>
    <xdr:to>
      <xdr:col>9</xdr:col>
      <xdr:colOff>32425</xdr:colOff>
      <xdr:row>2</xdr:row>
      <xdr:rowOff>8106</xdr:rowOff>
    </xdr:to>
    <xdr:sp macro="" textlink="">
      <xdr:nvSpPr>
        <xdr:cNvPr id="9" name="Rectangle: Rounded Corners 8">
          <a:extLst>
            <a:ext uri="{FF2B5EF4-FFF2-40B4-BE49-F238E27FC236}">
              <a16:creationId xmlns:a16="http://schemas.microsoft.com/office/drawing/2014/main" id="{1099A191-9B15-3A8A-B167-B3F47EC0E9D9}"/>
            </a:ext>
          </a:extLst>
        </xdr:cNvPr>
        <xdr:cNvSpPr/>
      </xdr:nvSpPr>
      <xdr:spPr>
        <a:xfrm>
          <a:off x="1767191" y="16213"/>
          <a:ext cx="3737043" cy="3647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Sales</a:t>
          </a:r>
          <a:r>
            <a:rPr lang="en-IN" sz="1400" b="1" baseline="0"/>
            <a:t> Performance Dashboard</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0.708049189816" createdVersion="8" refreshedVersion="8" minRefreshableVersion="3" recordCount="100" xr:uid="{67866ACF-1CA1-4FE5-9F50-B559C74D0E8B}">
  <cacheSource type="worksheet">
    <worksheetSource name="Table1"/>
  </cacheSource>
  <cacheFields count="14">
    <cacheField name="Order ID" numFmtId="0">
      <sharedItems containsSemiMixedTypes="0" containsString="0" containsNumber="1" containsInteger="1" minValue="2001" maxValue="2100"/>
    </cacheField>
    <cacheField name="Order Date" numFmtId="14">
      <sharedItems containsSemiMixedTypes="0" containsNonDate="0" containsDate="1" containsString="0" minDate="2024-01-01T00:00:00" maxDate="2024-04-10T00:00:00"/>
    </cacheField>
    <cacheField name="Customer Name" numFmtId="0">
      <sharedItems/>
    </cacheField>
    <cacheField name="City" numFmtId="0">
      <sharedItems/>
    </cacheField>
    <cacheField name="State" numFmtId="0">
      <sharedItems/>
    </cacheField>
    <cacheField name="Region" numFmtId="0">
      <sharedItems count="4">
        <s v="South"/>
        <s v="West"/>
        <s v="North"/>
        <s v="East"/>
      </sharedItems>
    </cacheField>
    <cacheField name="Product Category" numFmtId="0">
      <sharedItems count="3">
        <s v="Electronics"/>
        <s v="Furniture"/>
        <s v="Clothing"/>
      </sharedItems>
    </cacheField>
    <cacheField name="Product Name" numFmtId="0">
      <sharedItems/>
    </cacheField>
    <cacheField name="Salesperson" numFmtId="0">
      <sharedItems count="6">
        <s v="Arjun"/>
        <s v="Simran"/>
        <s v="Vikas"/>
        <s v="Raj"/>
        <s v="Neha"/>
        <s v="Pooj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containsInteger="1" minValue="800" maxValue="55000"/>
    </cacheField>
    <cacheField name="Discount (%)" numFmtId="0">
      <sharedItems containsSemiMixedTypes="0" containsString="0" containsNumber="1" containsInteger="1" minValue="0" maxValue="15"/>
    </cacheField>
    <cacheField name="Sales Amount" numFmtId="0">
      <sharedItems containsSemiMixedTypes="0" containsString="0" containsNumber="1" containsInteger="1" minValue="680" maxValue="233750"/>
    </cacheField>
    <cacheField name="Profit" numFmtId="0">
      <sharedItems containsSemiMixedTypes="0" containsString="0" containsNumber="1" minValue="204" maxValue="46750"/>
    </cacheField>
  </cacheFields>
  <extLst>
    <ext xmlns:x14="http://schemas.microsoft.com/office/spreadsheetml/2009/9/main" uri="{725AE2AE-9491-48be-B2B4-4EB974FC3084}">
      <x14:pivotCacheDefinition pivotCacheId="1025431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2001"/>
    <d v="2024-01-01T00:00:00"/>
    <s v="Rohit Das"/>
    <s v="Hyderabad"/>
    <s v="Telangana"/>
    <x v="0"/>
    <x v="0"/>
    <s v="Headphones"/>
    <x v="0"/>
    <n v="5"/>
    <n v="1500"/>
    <n v="5"/>
    <n v="7125"/>
    <n v="1781.25"/>
  </r>
  <r>
    <n v="2002"/>
    <d v="2024-01-02T00:00:00"/>
    <s v="Neha Gupta"/>
    <s v="Mumbai"/>
    <s v="Maharashtra"/>
    <x v="1"/>
    <x v="1"/>
    <s v="Sofa"/>
    <x v="1"/>
    <n v="2"/>
    <n v="25000"/>
    <n v="5"/>
    <n v="47500"/>
    <n v="8550"/>
  </r>
  <r>
    <n v="2003"/>
    <d v="2024-01-03T00:00:00"/>
    <s v="Neha Gupta"/>
    <s v="Lucknow"/>
    <s v="Uttar Pradesh"/>
    <x v="2"/>
    <x v="2"/>
    <s v="T-Shirt"/>
    <x v="2"/>
    <n v="5"/>
    <n v="800"/>
    <n v="10"/>
    <n v="3600"/>
    <n v="1080"/>
  </r>
  <r>
    <n v="2004"/>
    <d v="2024-01-04T00:00:00"/>
    <s v="Priya Verma"/>
    <s v="Chennai"/>
    <s v="Tamil Nadu"/>
    <x v="0"/>
    <x v="2"/>
    <s v="Jeans"/>
    <x v="3"/>
    <n v="4"/>
    <n v="1200"/>
    <n v="10"/>
    <n v="4320"/>
    <n v="1209.5999999999999"/>
  </r>
  <r>
    <n v="2005"/>
    <d v="2024-01-05T00:00:00"/>
    <s v="Arjun Mehta"/>
    <s v="Chennai"/>
    <s v="Tamil Nadu"/>
    <x v="0"/>
    <x v="0"/>
    <s v="Laptop"/>
    <x v="3"/>
    <n v="3"/>
    <n v="55000"/>
    <n v="5"/>
    <n v="156750"/>
    <n v="31350"/>
  </r>
  <r>
    <n v="2006"/>
    <d v="2024-01-06T00:00:00"/>
    <s v="Rahul Singh"/>
    <s v="Bangalore"/>
    <s v="Karnataka"/>
    <x v="0"/>
    <x v="1"/>
    <s v="Table"/>
    <x v="4"/>
    <n v="4"/>
    <n v="4500"/>
    <n v="10"/>
    <n v="16200"/>
    <n v="3240"/>
  </r>
  <r>
    <n v="2007"/>
    <d v="2024-01-07T00:00:00"/>
    <s v="Sneha Iyer"/>
    <s v="Kolkata"/>
    <s v="West Bengal"/>
    <x v="3"/>
    <x v="1"/>
    <s v="Chair"/>
    <x v="0"/>
    <n v="4"/>
    <n v="2500"/>
    <n v="0"/>
    <n v="10000"/>
    <n v="2200"/>
  </r>
  <r>
    <n v="2008"/>
    <d v="2024-01-08T00:00:00"/>
    <s v="Sneha Iyer"/>
    <s v="Chennai"/>
    <s v="Tamil Nadu"/>
    <x v="0"/>
    <x v="0"/>
    <s v="Headphones"/>
    <x v="5"/>
    <n v="1"/>
    <n v="1500"/>
    <n v="15"/>
    <n v="1275"/>
    <n v="318.75"/>
  </r>
  <r>
    <n v="2009"/>
    <d v="2024-01-09T00:00:00"/>
    <s v="Karan Malhotra"/>
    <s v="Patna"/>
    <s v="Bihar"/>
    <x v="3"/>
    <x v="0"/>
    <s v="Headphones"/>
    <x v="1"/>
    <n v="5"/>
    <n v="1500"/>
    <n v="0"/>
    <n v="7500"/>
    <n v="1875"/>
  </r>
  <r>
    <n v="2010"/>
    <d v="2024-01-10T00:00:00"/>
    <s v="Pooja Nair"/>
    <s v="Kolkata"/>
    <s v="West Bengal"/>
    <x v="3"/>
    <x v="2"/>
    <s v="Jeans"/>
    <x v="0"/>
    <n v="1"/>
    <n v="1200"/>
    <n v="10"/>
    <n v="1080"/>
    <n v="302.39999999999998"/>
  </r>
  <r>
    <n v="2011"/>
    <d v="2024-01-11T00:00:00"/>
    <s v="Arjun Mehta"/>
    <s v="Patna"/>
    <s v="Bihar"/>
    <x v="3"/>
    <x v="2"/>
    <s v="Jeans"/>
    <x v="4"/>
    <n v="1"/>
    <n v="1200"/>
    <n v="15"/>
    <n v="1020"/>
    <n v="285.60000000000002"/>
  </r>
  <r>
    <n v="2012"/>
    <d v="2024-01-12T00:00:00"/>
    <s v="Neha Gupta"/>
    <s v="Hyderabad"/>
    <s v="Telangana"/>
    <x v="0"/>
    <x v="2"/>
    <s v="T-Shirt"/>
    <x v="1"/>
    <n v="2"/>
    <n v="800"/>
    <n v="0"/>
    <n v="1600"/>
    <n v="480"/>
  </r>
  <r>
    <n v="2013"/>
    <d v="2024-01-13T00:00:00"/>
    <s v="Vikas Yadav"/>
    <s v="Ahmedabad"/>
    <s v="Gujarat"/>
    <x v="1"/>
    <x v="1"/>
    <s v="Chair"/>
    <x v="3"/>
    <n v="2"/>
    <n v="2500"/>
    <n v="15"/>
    <n v="4250"/>
    <n v="935"/>
  </r>
  <r>
    <n v="2014"/>
    <d v="2024-01-14T00:00:00"/>
    <s v="Karan Malhotra"/>
    <s v="Jaipur"/>
    <s v="Rajasthan"/>
    <x v="2"/>
    <x v="2"/>
    <s v="Jacket"/>
    <x v="0"/>
    <n v="5"/>
    <n v="2500"/>
    <n v="15"/>
    <n v="10625"/>
    <n v="2656.25"/>
  </r>
  <r>
    <n v="2015"/>
    <d v="2024-01-15T00:00:00"/>
    <s v="Rahul Singh"/>
    <s v="Mumbai"/>
    <s v="Maharashtra"/>
    <x v="1"/>
    <x v="0"/>
    <s v="TV"/>
    <x v="5"/>
    <n v="3"/>
    <n v="30000"/>
    <n v="15"/>
    <n v="76500"/>
    <n v="13770"/>
  </r>
  <r>
    <n v="2016"/>
    <d v="2024-01-16T00:00:00"/>
    <s v="Amit Sharma"/>
    <s v="Mumbai"/>
    <s v="Maharashtra"/>
    <x v="1"/>
    <x v="0"/>
    <s v="Mobile"/>
    <x v="2"/>
    <n v="4"/>
    <n v="20000"/>
    <n v="5"/>
    <n v="76000"/>
    <n v="11400"/>
  </r>
  <r>
    <n v="2017"/>
    <d v="2024-01-17T00:00:00"/>
    <s v="Sneha Iyer"/>
    <s v="Delhi"/>
    <s v="Delhi"/>
    <x v="2"/>
    <x v="2"/>
    <s v="Jeans"/>
    <x v="3"/>
    <n v="1"/>
    <n v="1200"/>
    <n v="15"/>
    <n v="1020"/>
    <n v="285.60000000000002"/>
  </r>
  <r>
    <n v="2018"/>
    <d v="2024-01-18T00:00:00"/>
    <s v="Priya Verma"/>
    <s v="Delhi"/>
    <s v="Delhi"/>
    <x v="2"/>
    <x v="0"/>
    <s v="Laptop"/>
    <x v="2"/>
    <n v="1"/>
    <n v="55000"/>
    <n v="5"/>
    <n v="52250"/>
    <n v="10450"/>
  </r>
  <r>
    <n v="2019"/>
    <d v="2024-01-19T00:00:00"/>
    <s v="Rahul Singh"/>
    <s v="Patna"/>
    <s v="Bihar"/>
    <x v="3"/>
    <x v="2"/>
    <s v="T-Shirt"/>
    <x v="0"/>
    <n v="4"/>
    <n v="800"/>
    <n v="5"/>
    <n v="3040"/>
    <n v="912"/>
  </r>
  <r>
    <n v="2020"/>
    <d v="2024-01-20T00:00:00"/>
    <s v="Sneha Iyer"/>
    <s v="Bangalore"/>
    <s v="Karnataka"/>
    <x v="0"/>
    <x v="0"/>
    <s v="TV"/>
    <x v="1"/>
    <n v="2"/>
    <n v="30000"/>
    <n v="0"/>
    <n v="60000"/>
    <n v="10800"/>
  </r>
  <r>
    <n v="2021"/>
    <d v="2024-01-21T00:00:00"/>
    <s v="Amit Sharma"/>
    <s v="Kolkata"/>
    <s v="West Bengal"/>
    <x v="3"/>
    <x v="1"/>
    <s v="Table"/>
    <x v="3"/>
    <n v="2"/>
    <n v="4500"/>
    <n v="5"/>
    <n v="8550"/>
    <n v="1710"/>
  </r>
  <r>
    <n v="2022"/>
    <d v="2024-01-22T00:00:00"/>
    <s v="Rohit Das"/>
    <s v="Chennai"/>
    <s v="Tamil Nadu"/>
    <x v="0"/>
    <x v="2"/>
    <s v="T-Shirt"/>
    <x v="4"/>
    <n v="4"/>
    <n v="800"/>
    <n v="10"/>
    <n v="2880"/>
    <n v="864"/>
  </r>
  <r>
    <n v="2023"/>
    <d v="2024-01-23T00:00:00"/>
    <s v="Sneha Iyer"/>
    <s v="Bangalore"/>
    <s v="Karnataka"/>
    <x v="0"/>
    <x v="1"/>
    <s v="Sofa"/>
    <x v="5"/>
    <n v="2"/>
    <n v="25000"/>
    <n v="0"/>
    <n v="50000"/>
    <n v="9000"/>
  </r>
  <r>
    <n v="2024"/>
    <d v="2024-01-24T00:00:00"/>
    <s v="Amit Sharma"/>
    <s v="Patna"/>
    <s v="Bihar"/>
    <x v="3"/>
    <x v="1"/>
    <s v="Chair"/>
    <x v="3"/>
    <n v="5"/>
    <n v="2500"/>
    <n v="0"/>
    <n v="12500"/>
    <n v="2750"/>
  </r>
  <r>
    <n v="2025"/>
    <d v="2024-01-25T00:00:00"/>
    <s v="Rahul Singh"/>
    <s v="Jaipur"/>
    <s v="Rajasthan"/>
    <x v="2"/>
    <x v="0"/>
    <s v="TV"/>
    <x v="1"/>
    <n v="3"/>
    <n v="30000"/>
    <n v="10"/>
    <n v="81000"/>
    <n v="14580"/>
  </r>
  <r>
    <n v="2026"/>
    <d v="2024-01-26T00:00:00"/>
    <s v="Rahul Singh"/>
    <s v="Chennai"/>
    <s v="Tamil Nadu"/>
    <x v="0"/>
    <x v="2"/>
    <s v="Jeans"/>
    <x v="2"/>
    <n v="1"/>
    <n v="1200"/>
    <n v="15"/>
    <n v="1020"/>
    <n v="285.60000000000002"/>
  </r>
  <r>
    <n v="2027"/>
    <d v="2024-01-27T00:00:00"/>
    <s v="Priya Verma"/>
    <s v="Patna"/>
    <s v="Bihar"/>
    <x v="3"/>
    <x v="0"/>
    <s v="Laptop"/>
    <x v="2"/>
    <n v="2"/>
    <n v="55000"/>
    <n v="5"/>
    <n v="104500"/>
    <n v="20900"/>
  </r>
  <r>
    <n v="2028"/>
    <d v="2024-01-28T00:00:00"/>
    <s v="Amit Sharma"/>
    <s v="Jaipur"/>
    <s v="Rajasthan"/>
    <x v="2"/>
    <x v="0"/>
    <s v="Laptop"/>
    <x v="0"/>
    <n v="4"/>
    <n v="55000"/>
    <n v="5"/>
    <n v="209000"/>
    <n v="41800"/>
  </r>
  <r>
    <n v="2029"/>
    <d v="2024-01-29T00:00:00"/>
    <s v="Sneha Iyer"/>
    <s v="Delhi"/>
    <s v="Delhi"/>
    <x v="2"/>
    <x v="0"/>
    <s v="Laptop"/>
    <x v="5"/>
    <n v="5"/>
    <n v="55000"/>
    <n v="15"/>
    <n v="233750"/>
    <n v="46750"/>
  </r>
  <r>
    <n v="2030"/>
    <d v="2024-01-30T00:00:00"/>
    <s v="Vikas Yadav"/>
    <s v="Mumbai"/>
    <s v="Maharashtra"/>
    <x v="1"/>
    <x v="1"/>
    <s v="Sofa"/>
    <x v="5"/>
    <n v="1"/>
    <n v="25000"/>
    <n v="0"/>
    <n v="25000"/>
    <n v="4500"/>
  </r>
  <r>
    <n v="2031"/>
    <d v="2024-01-31T00:00:00"/>
    <s v="Rahul Singh"/>
    <s v="Ahmedabad"/>
    <s v="Gujarat"/>
    <x v="1"/>
    <x v="2"/>
    <s v="Jeans"/>
    <x v="1"/>
    <n v="3"/>
    <n v="1200"/>
    <n v="15"/>
    <n v="3060"/>
    <n v="856.8"/>
  </r>
  <r>
    <n v="2032"/>
    <d v="2024-02-01T00:00:00"/>
    <s v="Karan Malhotra"/>
    <s v="Jaipur"/>
    <s v="Rajasthan"/>
    <x v="2"/>
    <x v="2"/>
    <s v="T-Shirt"/>
    <x v="0"/>
    <n v="2"/>
    <n v="800"/>
    <n v="5"/>
    <n v="1520"/>
    <n v="456"/>
  </r>
  <r>
    <n v="2033"/>
    <d v="2024-02-02T00:00:00"/>
    <s v="Rahul Singh"/>
    <s v="Kolkata"/>
    <s v="West Bengal"/>
    <x v="3"/>
    <x v="0"/>
    <s v="TV"/>
    <x v="1"/>
    <n v="2"/>
    <n v="30000"/>
    <n v="5"/>
    <n v="57000"/>
    <n v="10260"/>
  </r>
  <r>
    <n v="2034"/>
    <d v="2024-02-03T00:00:00"/>
    <s v="Pooja Nair"/>
    <s v="Bangalore"/>
    <s v="Karnataka"/>
    <x v="0"/>
    <x v="1"/>
    <s v="Table"/>
    <x v="1"/>
    <n v="5"/>
    <n v="4500"/>
    <n v="10"/>
    <n v="20250"/>
    <n v="4050"/>
  </r>
  <r>
    <n v="2035"/>
    <d v="2024-02-04T00:00:00"/>
    <s v="Neha Gupta"/>
    <s v="Kolkata"/>
    <s v="West Bengal"/>
    <x v="3"/>
    <x v="0"/>
    <s v="Laptop"/>
    <x v="1"/>
    <n v="1"/>
    <n v="55000"/>
    <n v="10"/>
    <n v="49500"/>
    <n v="9900"/>
  </r>
  <r>
    <n v="2036"/>
    <d v="2024-02-05T00:00:00"/>
    <s v="Amit Sharma"/>
    <s v="Delhi"/>
    <s v="Delhi"/>
    <x v="2"/>
    <x v="0"/>
    <s v="Laptop"/>
    <x v="3"/>
    <n v="1"/>
    <n v="55000"/>
    <n v="15"/>
    <n v="46750"/>
    <n v="9350"/>
  </r>
  <r>
    <n v="2037"/>
    <d v="2024-02-06T00:00:00"/>
    <s v="Rahul Singh"/>
    <s v="Jaipur"/>
    <s v="Rajasthan"/>
    <x v="2"/>
    <x v="0"/>
    <s v="Mobile"/>
    <x v="4"/>
    <n v="1"/>
    <n v="20000"/>
    <n v="0"/>
    <n v="20000"/>
    <n v="3000"/>
  </r>
  <r>
    <n v="2038"/>
    <d v="2024-02-07T00:00:00"/>
    <s v="Rahul Singh"/>
    <s v="Bangalore"/>
    <s v="Karnataka"/>
    <x v="0"/>
    <x v="0"/>
    <s v="Headphones"/>
    <x v="2"/>
    <n v="1"/>
    <n v="1500"/>
    <n v="15"/>
    <n v="1275"/>
    <n v="318.75"/>
  </r>
  <r>
    <n v="2039"/>
    <d v="2024-02-08T00:00:00"/>
    <s v="Pooja Nair"/>
    <s v="Patna"/>
    <s v="Bihar"/>
    <x v="3"/>
    <x v="0"/>
    <s v="Laptop"/>
    <x v="5"/>
    <n v="3"/>
    <n v="55000"/>
    <n v="10"/>
    <n v="148500"/>
    <n v="29700"/>
  </r>
  <r>
    <n v="2040"/>
    <d v="2024-02-09T00:00:00"/>
    <s v="Pooja Nair"/>
    <s v="Ahmedabad"/>
    <s v="Gujarat"/>
    <x v="1"/>
    <x v="1"/>
    <s v="Sofa"/>
    <x v="1"/>
    <n v="4"/>
    <n v="25000"/>
    <n v="0"/>
    <n v="100000"/>
    <n v="18000"/>
  </r>
  <r>
    <n v="2041"/>
    <d v="2024-02-10T00:00:00"/>
    <s v="Neha Gupta"/>
    <s v="Chennai"/>
    <s v="Tamil Nadu"/>
    <x v="0"/>
    <x v="2"/>
    <s v="Jacket"/>
    <x v="2"/>
    <n v="4"/>
    <n v="2500"/>
    <n v="0"/>
    <n v="10000"/>
    <n v="2500"/>
  </r>
  <r>
    <n v="2042"/>
    <d v="2024-02-11T00:00:00"/>
    <s v="Sneha Iyer"/>
    <s v="Kolkata"/>
    <s v="West Bengal"/>
    <x v="3"/>
    <x v="2"/>
    <s v="Jeans"/>
    <x v="3"/>
    <n v="3"/>
    <n v="1200"/>
    <n v="0"/>
    <n v="3600"/>
    <n v="1008"/>
  </r>
  <r>
    <n v="2043"/>
    <d v="2024-02-12T00:00:00"/>
    <s v="Priya Verma"/>
    <s v="Jaipur"/>
    <s v="Rajasthan"/>
    <x v="2"/>
    <x v="0"/>
    <s v="Headphones"/>
    <x v="5"/>
    <n v="4"/>
    <n v="1500"/>
    <n v="15"/>
    <n v="5100"/>
    <n v="1275"/>
  </r>
  <r>
    <n v="2044"/>
    <d v="2024-02-13T00:00:00"/>
    <s v="Pooja Nair"/>
    <s v="Patna"/>
    <s v="Bihar"/>
    <x v="3"/>
    <x v="0"/>
    <s v="Mobile"/>
    <x v="3"/>
    <n v="3"/>
    <n v="20000"/>
    <n v="5"/>
    <n v="57000"/>
    <n v="8550"/>
  </r>
  <r>
    <n v="2045"/>
    <d v="2024-02-14T00:00:00"/>
    <s v="Arjun Mehta"/>
    <s v="Patna"/>
    <s v="Bihar"/>
    <x v="3"/>
    <x v="2"/>
    <s v="Jacket"/>
    <x v="4"/>
    <n v="3"/>
    <n v="2500"/>
    <n v="5"/>
    <n v="7125"/>
    <n v="1781.25"/>
  </r>
  <r>
    <n v="2046"/>
    <d v="2024-02-15T00:00:00"/>
    <s v="Arjun Mehta"/>
    <s v="Jaipur"/>
    <s v="Rajasthan"/>
    <x v="2"/>
    <x v="1"/>
    <s v="Table"/>
    <x v="2"/>
    <n v="5"/>
    <n v="4500"/>
    <n v="5"/>
    <n v="21375"/>
    <n v="4275"/>
  </r>
  <r>
    <n v="2047"/>
    <d v="2024-02-16T00:00:00"/>
    <s v="Rahul Singh"/>
    <s v="Lucknow"/>
    <s v="Uttar Pradesh"/>
    <x v="2"/>
    <x v="0"/>
    <s v="Headphones"/>
    <x v="2"/>
    <n v="4"/>
    <n v="1500"/>
    <n v="0"/>
    <n v="6000"/>
    <n v="1500"/>
  </r>
  <r>
    <n v="2048"/>
    <d v="2024-02-17T00:00:00"/>
    <s v="Rohit Das"/>
    <s v="Hyderabad"/>
    <s v="Telangana"/>
    <x v="0"/>
    <x v="0"/>
    <s v="Mobile"/>
    <x v="2"/>
    <n v="3"/>
    <n v="20000"/>
    <n v="15"/>
    <n v="51000"/>
    <n v="7650"/>
  </r>
  <r>
    <n v="2049"/>
    <d v="2024-02-18T00:00:00"/>
    <s v="Neha Gupta"/>
    <s v="Ahmedabad"/>
    <s v="Gujarat"/>
    <x v="1"/>
    <x v="2"/>
    <s v="Jacket"/>
    <x v="2"/>
    <n v="3"/>
    <n v="2500"/>
    <n v="0"/>
    <n v="7500"/>
    <n v="1875"/>
  </r>
  <r>
    <n v="2050"/>
    <d v="2024-02-19T00:00:00"/>
    <s v="Vikas Yadav"/>
    <s v="Jaipur"/>
    <s v="Rajasthan"/>
    <x v="2"/>
    <x v="1"/>
    <s v="Table"/>
    <x v="4"/>
    <n v="5"/>
    <n v="4500"/>
    <n v="10"/>
    <n v="20250"/>
    <n v="4050"/>
  </r>
  <r>
    <n v="2051"/>
    <d v="2024-02-20T00:00:00"/>
    <s v="Sneha Iyer"/>
    <s v="Mumbai"/>
    <s v="Maharashtra"/>
    <x v="1"/>
    <x v="1"/>
    <s v="Table"/>
    <x v="4"/>
    <n v="3"/>
    <n v="4500"/>
    <n v="0"/>
    <n v="13500"/>
    <n v="2700"/>
  </r>
  <r>
    <n v="2052"/>
    <d v="2024-02-21T00:00:00"/>
    <s v="Rohit Das"/>
    <s v="Jaipur"/>
    <s v="Rajasthan"/>
    <x v="2"/>
    <x v="0"/>
    <s v="Mobile"/>
    <x v="1"/>
    <n v="4"/>
    <n v="20000"/>
    <n v="10"/>
    <n v="72000"/>
    <n v="10800"/>
  </r>
  <r>
    <n v="2053"/>
    <d v="2024-02-22T00:00:00"/>
    <s v="Rohit Das"/>
    <s v="Mumbai"/>
    <s v="Maharashtra"/>
    <x v="1"/>
    <x v="2"/>
    <s v="Jeans"/>
    <x v="5"/>
    <n v="2"/>
    <n v="1200"/>
    <n v="0"/>
    <n v="2400"/>
    <n v="672"/>
  </r>
  <r>
    <n v="2054"/>
    <d v="2024-02-23T00:00:00"/>
    <s v="Karan Malhotra"/>
    <s v="Bangalore"/>
    <s v="Karnataka"/>
    <x v="0"/>
    <x v="0"/>
    <s v="Mobile"/>
    <x v="0"/>
    <n v="3"/>
    <n v="20000"/>
    <n v="10"/>
    <n v="54000"/>
    <n v="8100"/>
  </r>
  <r>
    <n v="2055"/>
    <d v="2024-02-24T00:00:00"/>
    <s v="Vikas Yadav"/>
    <s v="Lucknow"/>
    <s v="Uttar Pradesh"/>
    <x v="2"/>
    <x v="0"/>
    <s v="TV"/>
    <x v="4"/>
    <n v="5"/>
    <n v="30000"/>
    <n v="10"/>
    <n v="135000"/>
    <n v="24300"/>
  </r>
  <r>
    <n v="2056"/>
    <d v="2024-02-25T00:00:00"/>
    <s v="Karan Malhotra"/>
    <s v="Mumbai"/>
    <s v="Maharashtra"/>
    <x v="1"/>
    <x v="0"/>
    <s v="Headphones"/>
    <x v="3"/>
    <n v="5"/>
    <n v="1500"/>
    <n v="15"/>
    <n v="6375"/>
    <n v="1593.75"/>
  </r>
  <r>
    <n v="2057"/>
    <d v="2024-02-26T00:00:00"/>
    <s v="Neha Gupta"/>
    <s v="Delhi"/>
    <s v="Delhi"/>
    <x v="2"/>
    <x v="1"/>
    <s v="Chair"/>
    <x v="4"/>
    <n v="5"/>
    <n v="2500"/>
    <n v="5"/>
    <n v="11875"/>
    <n v="2612.5"/>
  </r>
  <r>
    <n v="2058"/>
    <d v="2024-02-27T00:00:00"/>
    <s v="Priya Verma"/>
    <s v="Ahmedabad"/>
    <s v="Gujarat"/>
    <x v="1"/>
    <x v="2"/>
    <s v="Jacket"/>
    <x v="3"/>
    <n v="4"/>
    <n v="2500"/>
    <n v="0"/>
    <n v="10000"/>
    <n v="2500"/>
  </r>
  <r>
    <n v="2059"/>
    <d v="2024-02-28T00:00:00"/>
    <s v="Priya Verma"/>
    <s v="Jaipur"/>
    <s v="Rajasthan"/>
    <x v="2"/>
    <x v="0"/>
    <s v="Headphones"/>
    <x v="0"/>
    <n v="5"/>
    <n v="1500"/>
    <n v="5"/>
    <n v="7125"/>
    <n v="1781.25"/>
  </r>
  <r>
    <n v="2060"/>
    <d v="2024-02-29T00:00:00"/>
    <s v="Karan Malhotra"/>
    <s v="Mumbai"/>
    <s v="Maharashtra"/>
    <x v="1"/>
    <x v="1"/>
    <s v="Table"/>
    <x v="2"/>
    <n v="1"/>
    <n v="4500"/>
    <n v="15"/>
    <n v="3825"/>
    <n v="765"/>
  </r>
  <r>
    <n v="2061"/>
    <d v="2024-03-01T00:00:00"/>
    <s v="Vikas Yadav"/>
    <s v="Lucknow"/>
    <s v="Uttar Pradesh"/>
    <x v="2"/>
    <x v="1"/>
    <s v="Sofa"/>
    <x v="0"/>
    <n v="1"/>
    <n v="25000"/>
    <n v="0"/>
    <n v="25000"/>
    <n v="4500"/>
  </r>
  <r>
    <n v="2062"/>
    <d v="2024-03-02T00:00:00"/>
    <s v="Pooja Nair"/>
    <s v="Mumbai"/>
    <s v="Maharashtra"/>
    <x v="1"/>
    <x v="0"/>
    <s v="Laptop"/>
    <x v="3"/>
    <n v="4"/>
    <n v="55000"/>
    <n v="0"/>
    <n v="220000"/>
    <n v="44000"/>
  </r>
  <r>
    <n v="2063"/>
    <d v="2024-03-03T00:00:00"/>
    <s v="Pooja Nair"/>
    <s v="Bangalore"/>
    <s v="Karnataka"/>
    <x v="0"/>
    <x v="1"/>
    <s v="Table"/>
    <x v="2"/>
    <n v="1"/>
    <n v="4500"/>
    <n v="0"/>
    <n v="4500"/>
    <n v="900"/>
  </r>
  <r>
    <n v="2064"/>
    <d v="2024-03-04T00:00:00"/>
    <s v="Rohit Das"/>
    <s v="Chennai"/>
    <s v="Tamil Nadu"/>
    <x v="0"/>
    <x v="2"/>
    <s v="Jacket"/>
    <x v="1"/>
    <n v="2"/>
    <n v="2500"/>
    <n v="15"/>
    <n v="4250"/>
    <n v="1062.5"/>
  </r>
  <r>
    <n v="2065"/>
    <d v="2024-03-05T00:00:00"/>
    <s v="Priya Verma"/>
    <s v="Patna"/>
    <s v="Bihar"/>
    <x v="3"/>
    <x v="0"/>
    <s v="TV"/>
    <x v="5"/>
    <n v="2"/>
    <n v="30000"/>
    <n v="5"/>
    <n v="57000"/>
    <n v="10260"/>
  </r>
  <r>
    <n v="2066"/>
    <d v="2024-03-06T00:00:00"/>
    <s v="Amit Sharma"/>
    <s v="Mumbai"/>
    <s v="Maharashtra"/>
    <x v="1"/>
    <x v="1"/>
    <s v="Chair"/>
    <x v="5"/>
    <n v="4"/>
    <n v="2500"/>
    <n v="10"/>
    <n v="9000"/>
    <n v="1980"/>
  </r>
  <r>
    <n v="2067"/>
    <d v="2024-03-07T00:00:00"/>
    <s v="Rahul Singh"/>
    <s v="Kolkata"/>
    <s v="West Bengal"/>
    <x v="3"/>
    <x v="2"/>
    <s v="T-Shirt"/>
    <x v="2"/>
    <n v="2"/>
    <n v="800"/>
    <n v="5"/>
    <n v="1520"/>
    <n v="456"/>
  </r>
  <r>
    <n v="2068"/>
    <d v="2024-03-08T00:00:00"/>
    <s v="Vikas Yadav"/>
    <s v="Delhi"/>
    <s v="Delhi"/>
    <x v="2"/>
    <x v="0"/>
    <s v="TV"/>
    <x v="0"/>
    <n v="3"/>
    <n v="30000"/>
    <n v="10"/>
    <n v="81000"/>
    <n v="14580"/>
  </r>
  <r>
    <n v="2069"/>
    <d v="2024-03-09T00:00:00"/>
    <s v="Priya Verma"/>
    <s v="Kolkata"/>
    <s v="West Bengal"/>
    <x v="3"/>
    <x v="0"/>
    <s v="TV"/>
    <x v="1"/>
    <n v="3"/>
    <n v="30000"/>
    <n v="0"/>
    <n v="90000"/>
    <n v="16200"/>
  </r>
  <r>
    <n v="2070"/>
    <d v="2024-03-10T00:00:00"/>
    <s v="Rohit Das"/>
    <s v="Delhi"/>
    <s v="Delhi"/>
    <x v="2"/>
    <x v="1"/>
    <s v="Table"/>
    <x v="5"/>
    <n v="5"/>
    <n v="4500"/>
    <n v="10"/>
    <n v="20250"/>
    <n v="4050"/>
  </r>
  <r>
    <n v="2071"/>
    <d v="2024-03-11T00:00:00"/>
    <s v="Amit Sharma"/>
    <s v="Chennai"/>
    <s v="Tamil Nadu"/>
    <x v="0"/>
    <x v="0"/>
    <s v="Mobile"/>
    <x v="2"/>
    <n v="1"/>
    <n v="20000"/>
    <n v="15"/>
    <n v="17000"/>
    <n v="2550"/>
  </r>
  <r>
    <n v="2072"/>
    <d v="2024-03-12T00:00:00"/>
    <s v="Karan Malhotra"/>
    <s v="Bangalore"/>
    <s v="Karnataka"/>
    <x v="0"/>
    <x v="0"/>
    <s v="Headphones"/>
    <x v="3"/>
    <n v="4"/>
    <n v="1500"/>
    <n v="15"/>
    <n v="5100"/>
    <n v="1275"/>
  </r>
  <r>
    <n v="2073"/>
    <d v="2024-03-13T00:00:00"/>
    <s v="Sneha Iyer"/>
    <s v="Delhi"/>
    <s v="Delhi"/>
    <x v="2"/>
    <x v="1"/>
    <s v="Chair"/>
    <x v="3"/>
    <n v="2"/>
    <n v="2500"/>
    <n v="0"/>
    <n v="5000"/>
    <n v="1100"/>
  </r>
  <r>
    <n v="2074"/>
    <d v="2024-03-14T00:00:00"/>
    <s v="Pooja Nair"/>
    <s v="Hyderabad"/>
    <s v="Telangana"/>
    <x v="0"/>
    <x v="2"/>
    <s v="T-Shirt"/>
    <x v="1"/>
    <n v="1"/>
    <n v="800"/>
    <n v="15"/>
    <n v="680"/>
    <n v="204"/>
  </r>
  <r>
    <n v="2075"/>
    <d v="2024-03-15T00:00:00"/>
    <s v="Sneha Iyer"/>
    <s v="Mumbai"/>
    <s v="Maharashtra"/>
    <x v="1"/>
    <x v="2"/>
    <s v="Jacket"/>
    <x v="3"/>
    <n v="2"/>
    <n v="2500"/>
    <n v="0"/>
    <n v="5000"/>
    <n v="1250"/>
  </r>
  <r>
    <n v="2076"/>
    <d v="2024-03-16T00:00:00"/>
    <s v="Amit Sharma"/>
    <s v="Hyderabad"/>
    <s v="Telangana"/>
    <x v="0"/>
    <x v="1"/>
    <s v="Table"/>
    <x v="0"/>
    <n v="3"/>
    <n v="4500"/>
    <n v="10"/>
    <n v="12150"/>
    <n v="2430"/>
  </r>
  <r>
    <n v="2077"/>
    <d v="2024-03-17T00:00:00"/>
    <s v="Pooja Nair"/>
    <s v="Kolkata"/>
    <s v="West Bengal"/>
    <x v="3"/>
    <x v="1"/>
    <s v="Chair"/>
    <x v="1"/>
    <n v="4"/>
    <n v="2500"/>
    <n v="0"/>
    <n v="10000"/>
    <n v="2200"/>
  </r>
  <r>
    <n v="2078"/>
    <d v="2024-03-18T00:00:00"/>
    <s v="Karan Malhotra"/>
    <s v="Lucknow"/>
    <s v="Uttar Pradesh"/>
    <x v="2"/>
    <x v="2"/>
    <s v="Jacket"/>
    <x v="5"/>
    <n v="5"/>
    <n v="2500"/>
    <n v="5"/>
    <n v="11875"/>
    <n v="2968.75"/>
  </r>
  <r>
    <n v="2079"/>
    <d v="2024-03-19T00:00:00"/>
    <s v="Karan Malhotra"/>
    <s v="Hyderabad"/>
    <s v="Telangana"/>
    <x v="0"/>
    <x v="0"/>
    <s v="Headphones"/>
    <x v="1"/>
    <n v="2"/>
    <n v="1500"/>
    <n v="10"/>
    <n v="2700"/>
    <n v="675"/>
  </r>
  <r>
    <n v="2080"/>
    <d v="2024-03-20T00:00:00"/>
    <s v="Pooja Nair"/>
    <s v="Delhi"/>
    <s v="Delhi"/>
    <x v="2"/>
    <x v="1"/>
    <s v="Table"/>
    <x v="0"/>
    <n v="1"/>
    <n v="4500"/>
    <n v="15"/>
    <n v="3825"/>
    <n v="765"/>
  </r>
  <r>
    <n v="2081"/>
    <d v="2024-03-21T00:00:00"/>
    <s v="Amit Sharma"/>
    <s v="Ahmedabad"/>
    <s v="Gujarat"/>
    <x v="1"/>
    <x v="0"/>
    <s v="Headphones"/>
    <x v="3"/>
    <n v="3"/>
    <n v="1500"/>
    <n v="15"/>
    <n v="3825"/>
    <n v="956.25"/>
  </r>
  <r>
    <n v="2082"/>
    <d v="2024-03-22T00:00:00"/>
    <s v="Arjun Mehta"/>
    <s v="Jaipur"/>
    <s v="Rajasthan"/>
    <x v="2"/>
    <x v="1"/>
    <s v="Table"/>
    <x v="2"/>
    <n v="3"/>
    <n v="4500"/>
    <n v="0"/>
    <n v="13500"/>
    <n v="2700"/>
  </r>
  <r>
    <n v="2083"/>
    <d v="2024-03-23T00:00:00"/>
    <s v="Amit Sharma"/>
    <s v="Ahmedabad"/>
    <s v="Gujarat"/>
    <x v="1"/>
    <x v="2"/>
    <s v="Jeans"/>
    <x v="1"/>
    <n v="2"/>
    <n v="1200"/>
    <n v="0"/>
    <n v="2400"/>
    <n v="672"/>
  </r>
  <r>
    <n v="2084"/>
    <d v="2024-03-24T00:00:00"/>
    <s v="Rohit Das"/>
    <s v="Ahmedabad"/>
    <s v="Gujarat"/>
    <x v="1"/>
    <x v="0"/>
    <s v="Headphones"/>
    <x v="1"/>
    <n v="4"/>
    <n v="1500"/>
    <n v="5"/>
    <n v="5700"/>
    <n v="1425"/>
  </r>
  <r>
    <n v="2085"/>
    <d v="2024-03-25T00:00:00"/>
    <s v="Vikas Yadav"/>
    <s v="Hyderabad"/>
    <s v="Telangana"/>
    <x v="0"/>
    <x v="2"/>
    <s v="T-Shirt"/>
    <x v="1"/>
    <n v="1"/>
    <n v="800"/>
    <n v="0"/>
    <n v="800"/>
    <n v="240"/>
  </r>
  <r>
    <n v="2086"/>
    <d v="2024-03-26T00:00:00"/>
    <s v="Rohit Das"/>
    <s v="Ahmedabad"/>
    <s v="Gujarat"/>
    <x v="1"/>
    <x v="0"/>
    <s v="Laptop"/>
    <x v="1"/>
    <n v="2"/>
    <n v="55000"/>
    <n v="5"/>
    <n v="104500"/>
    <n v="20900"/>
  </r>
  <r>
    <n v="2087"/>
    <d v="2024-03-27T00:00:00"/>
    <s v="Rahul Singh"/>
    <s v="Jaipur"/>
    <s v="Rajasthan"/>
    <x v="2"/>
    <x v="1"/>
    <s v="Sofa"/>
    <x v="1"/>
    <n v="2"/>
    <n v="25000"/>
    <n v="0"/>
    <n v="50000"/>
    <n v="9000"/>
  </r>
  <r>
    <n v="2088"/>
    <d v="2024-03-28T00:00:00"/>
    <s v="Pooja Nair"/>
    <s v="Bangalore"/>
    <s v="Karnataka"/>
    <x v="0"/>
    <x v="2"/>
    <s v="Jacket"/>
    <x v="2"/>
    <n v="5"/>
    <n v="2500"/>
    <n v="0"/>
    <n v="12500"/>
    <n v="3125"/>
  </r>
  <r>
    <n v="2089"/>
    <d v="2024-03-29T00:00:00"/>
    <s v="Neha Gupta"/>
    <s v="Chennai"/>
    <s v="Tamil Nadu"/>
    <x v="0"/>
    <x v="0"/>
    <s v="Laptop"/>
    <x v="5"/>
    <n v="4"/>
    <n v="55000"/>
    <n v="0"/>
    <n v="220000"/>
    <n v="44000"/>
  </r>
  <r>
    <n v="2090"/>
    <d v="2024-03-30T00:00:00"/>
    <s v="Karan Malhotra"/>
    <s v="Lucknow"/>
    <s v="Uttar Pradesh"/>
    <x v="2"/>
    <x v="0"/>
    <s v="TV"/>
    <x v="0"/>
    <n v="3"/>
    <n v="30000"/>
    <n v="10"/>
    <n v="81000"/>
    <n v="14580"/>
  </r>
  <r>
    <n v="2091"/>
    <d v="2024-03-31T00:00:00"/>
    <s v="Pooja Nair"/>
    <s v="Mumbai"/>
    <s v="Maharashtra"/>
    <x v="1"/>
    <x v="1"/>
    <s v="Table"/>
    <x v="0"/>
    <n v="1"/>
    <n v="4500"/>
    <n v="5"/>
    <n v="4275"/>
    <n v="855"/>
  </r>
  <r>
    <n v="2092"/>
    <d v="2024-04-01T00:00:00"/>
    <s v="Rahul Singh"/>
    <s v="Chennai"/>
    <s v="Tamil Nadu"/>
    <x v="0"/>
    <x v="0"/>
    <s v="Laptop"/>
    <x v="3"/>
    <n v="4"/>
    <n v="55000"/>
    <n v="5"/>
    <n v="209000"/>
    <n v="41800"/>
  </r>
  <r>
    <n v="2093"/>
    <d v="2024-04-02T00:00:00"/>
    <s v="Pooja Nair"/>
    <s v="Hyderabad"/>
    <s v="Telangana"/>
    <x v="0"/>
    <x v="2"/>
    <s v="T-Shirt"/>
    <x v="1"/>
    <n v="5"/>
    <n v="800"/>
    <n v="15"/>
    <n v="3400"/>
    <n v="1020"/>
  </r>
  <r>
    <n v="2094"/>
    <d v="2024-04-03T00:00:00"/>
    <s v="Pooja Nair"/>
    <s v="Hyderabad"/>
    <s v="Telangana"/>
    <x v="0"/>
    <x v="0"/>
    <s v="TV"/>
    <x v="1"/>
    <n v="1"/>
    <n v="30000"/>
    <n v="0"/>
    <n v="30000"/>
    <n v="5400"/>
  </r>
  <r>
    <n v="2095"/>
    <d v="2024-04-04T00:00:00"/>
    <s v="Priya Verma"/>
    <s v="Jaipur"/>
    <s v="Rajasthan"/>
    <x v="2"/>
    <x v="1"/>
    <s v="Chair"/>
    <x v="3"/>
    <n v="5"/>
    <n v="2500"/>
    <n v="10"/>
    <n v="11250"/>
    <n v="2475"/>
  </r>
  <r>
    <n v="2096"/>
    <d v="2024-04-05T00:00:00"/>
    <s v="Neha Gupta"/>
    <s v="Ahmedabad"/>
    <s v="Gujarat"/>
    <x v="1"/>
    <x v="0"/>
    <s v="TV"/>
    <x v="5"/>
    <n v="1"/>
    <n v="30000"/>
    <n v="5"/>
    <n v="28500"/>
    <n v="5130"/>
  </r>
  <r>
    <n v="2097"/>
    <d v="2024-04-06T00:00:00"/>
    <s v="Sneha Iyer"/>
    <s v="Kolkata"/>
    <s v="West Bengal"/>
    <x v="3"/>
    <x v="1"/>
    <s v="Sofa"/>
    <x v="0"/>
    <n v="2"/>
    <n v="25000"/>
    <n v="5"/>
    <n v="47500"/>
    <n v="8550"/>
  </r>
  <r>
    <n v="2098"/>
    <d v="2024-04-07T00:00:00"/>
    <s v="Vikas Yadav"/>
    <s v="Patna"/>
    <s v="Bihar"/>
    <x v="3"/>
    <x v="1"/>
    <s v="Table"/>
    <x v="1"/>
    <n v="5"/>
    <n v="4500"/>
    <n v="5"/>
    <n v="21375"/>
    <n v="4275"/>
  </r>
  <r>
    <n v="2099"/>
    <d v="2024-04-08T00:00:00"/>
    <s v="Vikas Yadav"/>
    <s v="Delhi"/>
    <s v="Delhi"/>
    <x v="2"/>
    <x v="0"/>
    <s v="Mobile"/>
    <x v="4"/>
    <n v="5"/>
    <n v="20000"/>
    <n v="5"/>
    <n v="95000"/>
    <n v="14250"/>
  </r>
  <r>
    <n v="2100"/>
    <d v="2024-04-09T00:00:00"/>
    <s v="Rohit Das"/>
    <s v="Patna"/>
    <s v="Bihar"/>
    <x v="3"/>
    <x v="1"/>
    <s v="Table"/>
    <x v="2"/>
    <n v="3"/>
    <n v="4500"/>
    <n v="0"/>
    <n v="13500"/>
    <n v="2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F8D977-AB0D-436D-AC92-649A2A93D5E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4" showAll="0"/>
    <pivotField showAll="0"/>
    <pivotField showAll="0"/>
    <pivotField showAll="0"/>
    <pivotField axis="axisRow" showAll="0">
      <items count="5">
        <item x="3"/>
        <item x="2"/>
        <item x="0"/>
        <item x="1"/>
        <item t="default"/>
      </items>
    </pivotField>
    <pivotField showAll="0">
      <items count="4">
        <item x="2"/>
        <item x="0"/>
        <item x="1"/>
        <item t="default"/>
      </items>
    </pivotField>
    <pivotField showAll="0"/>
    <pivotField showAll="0">
      <items count="7">
        <item x="0"/>
        <item x="4"/>
        <item x="5"/>
        <item x="3"/>
        <item x="1"/>
        <item x="2"/>
        <item t="default"/>
      </items>
    </pivotField>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Profit" fld="13"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31FB4-3AB0-4FB6-992B-EED0E946CE1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4">
    <pivotField showAll="0"/>
    <pivotField numFmtId="14" showAll="0"/>
    <pivotField showAll="0"/>
    <pivotField showAll="0"/>
    <pivotField showAll="0"/>
    <pivotField showAll="0">
      <items count="5">
        <item x="3"/>
        <item x="2"/>
        <item x="0"/>
        <item x="1"/>
        <item t="default"/>
      </items>
    </pivotField>
    <pivotField axis="axisRow" showAll="0">
      <items count="4">
        <item x="2"/>
        <item x="0"/>
        <item x="1"/>
        <item t="default"/>
      </items>
    </pivotField>
    <pivotField showAll="0"/>
    <pivotField showAll="0">
      <items count="7">
        <item x="0"/>
        <item x="4"/>
        <item x="5"/>
        <item x="3"/>
        <item x="1"/>
        <item x="2"/>
        <item t="default"/>
      </items>
    </pivotField>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Sum of Quantity"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5A29C5-D239-4FBB-8279-3F1E96C032E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numFmtId="14" showAll="0"/>
    <pivotField showAll="0"/>
    <pivotField showAll="0"/>
    <pivotField showAll="0"/>
    <pivotField showAll="0">
      <items count="5">
        <item x="3"/>
        <item x="2"/>
        <item x="0"/>
        <item x="1"/>
        <item t="default"/>
      </items>
    </pivotField>
    <pivotField showAll="0">
      <items count="4">
        <item x="2"/>
        <item x="0"/>
        <item x="1"/>
        <item t="default"/>
      </items>
    </pivotField>
    <pivotField showAll="0"/>
    <pivotField axis="axisRow" showAll="0">
      <items count="7">
        <item x="0"/>
        <item x="4"/>
        <item x="5"/>
        <item x="3"/>
        <item x="1"/>
        <item x="2"/>
        <item t="default"/>
      </items>
    </pivotField>
    <pivotField dataField="1"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Quantity"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340EC4-09AE-4263-BAE4-EF9F6CCF6D17}"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pivotField showAll="0"/>
    <pivotField showAll="0"/>
    <pivotField showAll="0"/>
    <pivotField axis="axisRow" showAll="0">
      <items count="5">
        <item x="3"/>
        <item x="2"/>
        <item x="0"/>
        <item x="1"/>
        <item t="default"/>
      </items>
    </pivotField>
    <pivotField showAll="0">
      <items count="4">
        <item x="2"/>
        <item x="0"/>
        <item x="1"/>
        <item t="default"/>
      </items>
    </pivotField>
    <pivotField showAll="0"/>
    <pivotField showAll="0">
      <items count="7">
        <item x="0"/>
        <item x="4"/>
        <item x="5"/>
        <item x="3"/>
        <item x="1"/>
        <item x="2"/>
        <item t="default"/>
      </items>
    </pivotField>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Sales Amount"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7C4EC7-072E-4887-8222-62C0BC7C12E2}" sourceName="Region">
  <pivotTables>
    <pivotTable tabId="7" name="PivotTable2"/>
    <pivotTable tabId="5" name="PivotTable1"/>
    <pivotTable tabId="8" name="PivotTable3"/>
    <pivotTable tabId="9" name="PivotTable4"/>
  </pivotTables>
  <data>
    <tabular pivotCacheId="1025431552">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D46B357-7194-41E0-BF2F-58E7B09417DA}" sourceName="Product Category">
  <pivotTables>
    <pivotTable tabId="7" name="PivotTable2"/>
    <pivotTable tabId="5" name="PivotTable1"/>
    <pivotTable tabId="8" name="PivotTable3"/>
    <pivotTable tabId="9" name="PivotTable4"/>
  </pivotTables>
  <data>
    <tabular pivotCacheId="102543155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8A4B76C-96AC-4866-85EC-C9809BDC5C73}" sourceName="Salesperson">
  <pivotTables>
    <pivotTable tabId="7" name="PivotTable2"/>
    <pivotTable tabId="5" name="PivotTable1"/>
    <pivotTable tabId="8" name="PivotTable3"/>
    <pivotTable tabId="9" name="PivotTable4"/>
  </pivotTables>
  <data>
    <tabular pivotCacheId="1025431552">
      <items count="6">
        <i x="0" s="1"/>
        <i x="4" s="1"/>
        <i x="5"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77B26D-593D-4D47-A99F-064BDC14EDB2}" cache="Slicer_Region" caption="Region" rowHeight="234950"/>
  <slicer name="Product Category" xr10:uid="{683F535B-F222-4CCE-AE92-A0F354024C7A}" cache="Slicer_Product_Category" caption="Product Category" rowHeight="234950"/>
  <slicer name="Salesperson" xr10:uid="{65C964BA-A09A-40B9-B7E7-3E5752737898}"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01509-91CE-4ED7-B52E-3CC39BD9AD4C}" name="Table1" displayName="Table1" ref="A1:N101" totalsRowShown="0">
  <autoFilter ref="A1:N101" xr:uid="{2A401509-91CE-4ED7-B52E-3CC39BD9AD4C}"/>
  <tableColumns count="14">
    <tableColumn id="1" xr3:uid="{DD4269E0-CF1C-41A3-86A1-E8844336B6C6}" name="Order ID"/>
    <tableColumn id="2" xr3:uid="{21E1F674-C4D9-48F6-9607-4596C16F2080}" name="Order Date" dataDxfId="0"/>
    <tableColumn id="3" xr3:uid="{7A7F1A40-8EDB-402A-B17C-06439FC22A14}" name="Customer Name"/>
    <tableColumn id="4" xr3:uid="{40C2BB0D-542A-4A31-87C5-64634B604AF1}" name="City"/>
    <tableColumn id="5" xr3:uid="{C033FA7B-9F72-4440-9CA6-C200D5707E2A}" name="State"/>
    <tableColumn id="6" xr3:uid="{F87856DD-7316-4DC3-84C3-50ADE251B8E4}" name="Region"/>
    <tableColumn id="7" xr3:uid="{C573992A-9593-4C13-840E-11360EB4E196}" name="Product Category"/>
    <tableColumn id="8" xr3:uid="{09D3D0BA-6C01-4145-BEC5-60C85495A953}" name="Product Name"/>
    <tableColumn id="9" xr3:uid="{601BD377-7E49-4146-BF9F-D8B4A8727BB4}" name="Salesperson"/>
    <tableColumn id="10" xr3:uid="{94550190-210A-4AB6-8D99-047E3CCE6B20}" name="Quantity"/>
    <tableColumn id="11" xr3:uid="{9DDD3659-9BF7-4559-973C-07D897B94FAB}" name="Price per Unit"/>
    <tableColumn id="12" xr3:uid="{26CB16D9-E845-4A9A-B051-DCF245677819}" name="Discount (%)"/>
    <tableColumn id="13" xr3:uid="{19A760C6-88A8-4666-BC1B-1866A8A74B3B}" name="Sales Amount"/>
    <tableColumn id="14" xr3:uid="{FC4EA881-50D9-4D88-AAA0-080C062E2DFD}"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5275-E62C-4517-BEE2-EB20AB5870CE}">
  <dimension ref="A3:B8"/>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8" t="s">
        <v>66</v>
      </c>
      <c r="B3" t="s">
        <v>70</v>
      </c>
    </row>
    <row r="4" spans="1:2" x14ac:dyDescent="0.3">
      <c r="A4" s="9" t="s">
        <v>49</v>
      </c>
      <c r="B4" s="11">
        <v>136775.25</v>
      </c>
    </row>
    <row r="5" spans="1:2" x14ac:dyDescent="0.3">
      <c r="A5" s="9" t="s">
        <v>30</v>
      </c>
      <c r="B5" s="11">
        <v>251970.35</v>
      </c>
    </row>
    <row r="6" spans="1:2" x14ac:dyDescent="0.3">
      <c r="A6" s="9" t="s">
        <v>17</v>
      </c>
      <c r="B6" s="11">
        <v>186629.45</v>
      </c>
    </row>
    <row r="7" spans="1:2" x14ac:dyDescent="0.3">
      <c r="A7" s="9" t="s">
        <v>24</v>
      </c>
      <c r="B7" s="11">
        <v>145285.79999999999</v>
      </c>
    </row>
    <row r="8" spans="1:2" x14ac:dyDescent="0.3">
      <c r="A8" s="9" t="s">
        <v>67</v>
      </c>
      <c r="B8" s="11">
        <v>720660.85000000009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BEAD-C344-4E01-8C59-961245537FB1}">
  <dimension ref="A1"/>
  <sheetViews>
    <sheetView showGridLines="0" tabSelected="1" zoomScale="79" zoomScaleNormal="79" workbookViewId="0">
      <selection activeCell="Q30" sqref="Q3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2F6B-513B-4AA7-89AE-C441B4F7F0E3}">
  <dimension ref="A3:B7"/>
  <sheetViews>
    <sheetView workbookViewId="0">
      <selection activeCell="B4" sqref="B4"/>
    </sheetView>
  </sheetViews>
  <sheetFormatPr defaultRowHeight="14.4" x14ac:dyDescent="0.3"/>
  <cols>
    <col min="1" max="1" width="12.5546875" bestFit="1" customWidth="1"/>
    <col min="2" max="2" width="14.88671875" bestFit="1" customWidth="1"/>
  </cols>
  <sheetData>
    <row r="3" spans="1:2" x14ac:dyDescent="0.3">
      <c r="A3" s="8" t="s">
        <v>66</v>
      </c>
      <c r="B3" t="s">
        <v>71</v>
      </c>
    </row>
    <row r="4" spans="1:2" x14ac:dyDescent="0.3">
      <c r="A4" s="9" t="s">
        <v>31</v>
      </c>
      <c r="B4" s="11">
        <v>77</v>
      </c>
    </row>
    <row r="5" spans="1:2" x14ac:dyDescent="0.3">
      <c r="A5" s="9" t="s">
        <v>18</v>
      </c>
      <c r="B5" s="11">
        <v>129</v>
      </c>
    </row>
    <row r="6" spans="1:2" x14ac:dyDescent="0.3">
      <c r="A6" s="9" t="s">
        <v>25</v>
      </c>
      <c r="B6" s="11">
        <v>92</v>
      </c>
    </row>
    <row r="7" spans="1:2" x14ac:dyDescent="0.3">
      <c r="A7" s="9" t="s">
        <v>67</v>
      </c>
      <c r="B7" s="11">
        <v>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F082-15C6-48E5-862C-D9D76D602D26}">
  <dimension ref="A3:M12"/>
  <sheetViews>
    <sheetView workbookViewId="0">
      <selection activeCell="M12" sqref="M12"/>
    </sheetView>
  </sheetViews>
  <sheetFormatPr defaultRowHeight="14.4" x14ac:dyDescent="0.3"/>
  <cols>
    <col min="1" max="1" width="12.5546875" bestFit="1" customWidth="1"/>
    <col min="2" max="2" width="14.88671875" bestFit="1" customWidth="1"/>
    <col min="3" max="3" width="19.21875" bestFit="1" customWidth="1"/>
    <col min="13" max="13" width="11" bestFit="1" customWidth="1"/>
  </cols>
  <sheetData>
    <row r="3" spans="1:13" x14ac:dyDescent="0.3">
      <c r="A3" s="8" t="s">
        <v>66</v>
      </c>
      <c r="B3" t="s">
        <v>71</v>
      </c>
    </row>
    <row r="4" spans="1:13" x14ac:dyDescent="0.3">
      <c r="A4" s="9" t="s">
        <v>20</v>
      </c>
      <c r="B4" s="11">
        <v>47</v>
      </c>
    </row>
    <row r="5" spans="1:13" x14ac:dyDescent="0.3">
      <c r="A5" s="9" t="s">
        <v>45</v>
      </c>
      <c r="B5" s="11">
        <v>36</v>
      </c>
    </row>
    <row r="6" spans="1:13" x14ac:dyDescent="0.3">
      <c r="A6" s="9" t="s">
        <v>51</v>
      </c>
      <c r="B6" s="11">
        <v>42</v>
      </c>
    </row>
    <row r="7" spans="1:13" x14ac:dyDescent="0.3">
      <c r="A7" s="9" t="s">
        <v>38</v>
      </c>
      <c r="B7" s="11">
        <v>57</v>
      </c>
    </row>
    <row r="8" spans="1:13" x14ac:dyDescent="0.3">
      <c r="A8" s="9" t="s">
        <v>27</v>
      </c>
      <c r="B8" s="11">
        <v>67</v>
      </c>
    </row>
    <row r="9" spans="1:13" x14ac:dyDescent="0.3">
      <c r="A9" s="9" t="s">
        <v>33</v>
      </c>
      <c r="B9" s="11">
        <v>49</v>
      </c>
    </row>
    <row r="10" spans="1:13" x14ac:dyDescent="0.3">
      <c r="A10" s="9" t="s">
        <v>67</v>
      </c>
      <c r="B10" s="11">
        <v>298</v>
      </c>
    </row>
    <row r="12" spans="1:13" x14ac:dyDescent="0.3">
      <c r="M12">
        <v>9241700000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C556-E952-4FFA-A414-1A78880D4520}">
  <dimension ref="A3:B8"/>
  <sheetViews>
    <sheetView workbookViewId="0">
      <selection activeCell="B7" sqref="B7"/>
    </sheetView>
  </sheetViews>
  <sheetFormatPr defaultRowHeight="14.4" x14ac:dyDescent="0.3"/>
  <cols>
    <col min="1" max="1" width="12.5546875" bestFit="1" customWidth="1"/>
    <col min="2" max="2" width="19.21875" bestFit="1" customWidth="1"/>
  </cols>
  <sheetData>
    <row r="3" spans="1:2" x14ac:dyDescent="0.3">
      <c r="A3" s="8" t="s">
        <v>66</v>
      </c>
      <c r="B3" t="s">
        <v>72</v>
      </c>
    </row>
    <row r="4" spans="1:2" x14ac:dyDescent="0.3">
      <c r="A4" s="9" t="s">
        <v>49</v>
      </c>
      <c r="B4" s="11">
        <v>711810</v>
      </c>
    </row>
    <row r="5" spans="1:2" x14ac:dyDescent="0.3">
      <c r="A5" s="9" t="s">
        <v>30</v>
      </c>
      <c r="B5" s="11">
        <v>1335940</v>
      </c>
    </row>
    <row r="6" spans="1:2" x14ac:dyDescent="0.3">
      <c r="A6" s="9" t="s">
        <v>17</v>
      </c>
      <c r="B6" s="11">
        <v>959775</v>
      </c>
    </row>
    <row r="7" spans="1:2" x14ac:dyDescent="0.3">
      <c r="A7" s="9" t="s">
        <v>24</v>
      </c>
      <c r="B7" s="11">
        <v>759110</v>
      </c>
    </row>
    <row r="8" spans="1:2" x14ac:dyDescent="0.3">
      <c r="A8" s="9" t="s">
        <v>67</v>
      </c>
      <c r="B8" s="11">
        <v>3766635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zoomScale="96" zoomScaleNormal="96" workbookViewId="0">
      <selection activeCell="M19" sqref="M19"/>
    </sheetView>
  </sheetViews>
  <sheetFormatPr defaultRowHeight="14.4" x14ac:dyDescent="0.3"/>
  <cols>
    <col min="1" max="1" width="9.88671875" customWidth="1"/>
    <col min="2" max="3" width="16.44140625" customWidth="1"/>
    <col min="4" max="4" width="11.109375" customWidth="1"/>
    <col min="5" max="5" width="13" customWidth="1"/>
    <col min="6" max="6" width="10.77734375" customWidth="1"/>
    <col min="7" max="7" width="17.5546875" customWidth="1"/>
    <col min="8" max="8" width="15" customWidth="1"/>
    <col min="9" max="9" width="13.109375" customWidth="1"/>
    <col min="10" max="10" width="10.21875" customWidth="1"/>
    <col min="11" max="11" width="14.21875" customWidth="1"/>
    <col min="12" max="12" width="13.44140625" customWidth="1"/>
    <col min="13" max="13" width="14.44140625" customWidth="1"/>
    <col min="16" max="16" width="12.109375" customWidth="1"/>
    <col min="17" max="17" width="16.33203125" customWidth="1"/>
    <col min="18" max="18" width="12.88671875" customWidth="1"/>
    <col min="20" max="20" width="9.5546875" customWidth="1"/>
    <col min="21" max="21" width="12.21875" customWidth="1"/>
    <col min="22" max="22" width="14.109375" customWidth="1"/>
    <col min="26" max="26" width="14.5546875" customWidth="1"/>
    <col min="27" max="27" width="12.33203125" customWidth="1"/>
    <col min="28" max="28" width="12.77734375" customWidth="1"/>
    <col min="30" max="30" width="13.88671875" customWidth="1"/>
    <col min="32" max="32" width="13.44140625" customWidth="1"/>
  </cols>
  <sheetData>
    <row r="1" spans="1:39" ht="15" thickBot="1" x14ac:dyDescent="0.35">
      <c r="A1" t="s">
        <v>0</v>
      </c>
      <c r="B1" t="s">
        <v>1</v>
      </c>
      <c r="C1" t="s">
        <v>2</v>
      </c>
      <c r="D1" t="s">
        <v>3</v>
      </c>
      <c r="E1" t="s">
        <v>4</v>
      </c>
      <c r="F1" t="s">
        <v>5</v>
      </c>
      <c r="G1" t="s">
        <v>6</v>
      </c>
      <c r="H1" t="s">
        <v>7</v>
      </c>
      <c r="I1" t="s">
        <v>8</v>
      </c>
      <c r="J1" t="s">
        <v>9</v>
      </c>
      <c r="K1" t="s">
        <v>10</v>
      </c>
      <c r="L1" t="s">
        <v>11</v>
      </c>
      <c r="M1" t="s">
        <v>12</v>
      </c>
      <c r="N1" t="s">
        <v>13</v>
      </c>
      <c r="P1" s="3" t="s">
        <v>8</v>
      </c>
      <c r="Q1" s="3" t="s">
        <v>6</v>
      </c>
      <c r="T1" s="2" t="s">
        <v>0</v>
      </c>
      <c r="U1" s="3" t="s">
        <v>1</v>
      </c>
      <c r="V1" s="3" t="s">
        <v>2</v>
      </c>
      <c r="W1" s="3" t="s">
        <v>3</v>
      </c>
      <c r="X1" s="3" t="s">
        <v>4</v>
      </c>
      <c r="Y1" s="3" t="s">
        <v>5</v>
      </c>
      <c r="Z1" s="3" t="s">
        <v>6</v>
      </c>
      <c r="AA1" s="3" t="s">
        <v>7</v>
      </c>
      <c r="AB1" s="3" t="s">
        <v>8</v>
      </c>
      <c r="AC1" s="3" t="s">
        <v>9</v>
      </c>
      <c r="AD1" s="3" t="s">
        <v>10</v>
      </c>
      <c r="AE1" s="3" t="s">
        <v>11</v>
      </c>
      <c r="AF1" s="3" t="s">
        <v>12</v>
      </c>
      <c r="AG1" s="4" t="s">
        <v>13</v>
      </c>
      <c r="AK1" s="5" t="s">
        <v>18</v>
      </c>
      <c r="AM1" s="5" t="s">
        <v>20</v>
      </c>
    </row>
    <row r="2" spans="1:39" ht="15" thickTop="1" x14ac:dyDescent="0.3">
      <c r="A2">
        <v>2001</v>
      </c>
      <c r="B2" s="1">
        <v>45292</v>
      </c>
      <c r="C2" t="s">
        <v>14</v>
      </c>
      <c r="D2" t="s">
        <v>15</v>
      </c>
      <c r="E2" t="s">
        <v>16</v>
      </c>
      <c r="F2" t="s">
        <v>17</v>
      </c>
      <c r="G2" t="s">
        <v>18</v>
      </c>
      <c r="H2" t="s">
        <v>19</v>
      </c>
      <c r="I2" t="s">
        <v>20</v>
      </c>
      <c r="J2">
        <v>5</v>
      </c>
      <c r="K2">
        <v>1500</v>
      </c>
      <c r="L2">
        <v>5</v>
      </c>
      <c r="M2">
        <v>7125</v>
      </c>
      <c r="N2">
        <v>1781.25</v>
      </c>
      <c r="P2" t="s">
        <v>45</v>
      </c>
      <c r="Q2" t="s">
        <v>18</v>
      </c>
      <c r="T2" cm="1">
        <f t="array" ref="T2:AG4">_xlfn._xlws.FILTER(Table1[],
(Table1[Salesperson]=P2)*
(Table1[Product Category]=Q2),
"No Data Found")</f>
        <v>2037</v>
      </c>
      <c r="U2">
        <v>45328</v>
      </c>
      <c r="V2" t="str">
        <v>Rahul Singh</v>
      </c>
      <c r="W2" t="str">
        <v>Jaipur</v>
      </c>
      <c r="X2" t="str">
        <v>Rajasthan</v>
      </c>
      <c r="Y2" t="str">
        <v>North</v>
      </c>
      <c r="Z2" t="str">
        <v>Electronics</v>
      </c>
      <c r="AA2" t="str">
        <v>Mobile</v>
      </c>
      <c r="AB2" t="str">
        <v>Neha</v>
      </c>
      <c r="AC2">
        <v>1</v>
      </c>
      <c r="AD2">
        <v>20000</v>
      </c>
      <c r="AE2">
        <v>0</v>
      </c>
      <c r="AF2">
        <v>20000</v>
      </c>
      <c r="AG2">
        <v>3000</v>
      </c>
      <c r="AK2" s="6" t="s">
        <v>25</v>
      </c>
      <c r="AM2" s="6" t="s">
        <v>27</v>
      </c>
    </row>
    <row r="3" spans="1:39" x14ac:dyDescent="0.3">
      <c r="A3">
        <v>2002</v>
      </c>
      <c r="B3" s="1">
        <v>45293</v>
      </c>
      <c r="C3" t="s">
        <v>21</v>
      </c>
      <c r="D3" t="s">
        <v>22</v>
      </c>
      <c r="E3" t="s">
        <v>23</v>
      </c>
      <c r="F3" t="s">
        <v>24</v>
      </c>
      <c r="G3" t="s">
        <v>25</v>
      </c>
      <c r="H3" t="s">
        <v>26</v>
      </c>
      <c r="I3" t="s">
        <v>27</v>
      </c>
      <c r="J3">
        <v>2</v>
      </c>
      <c r="K3">
        <v>25000</v>
      </c>
      <c r="L3">
        <v>5</v>
      </c>
      <c r="M3">
        <v>47500</v>
      </c>
      <c r="N3">
        <v>8550</v>
      </c>
      <c r="T3">
        <v>2055</v>
      </c>
      <c r="U3">
        <v>45346</v>
      </c>
      <c r="V3" t="str">
        <v>Vikas Yadav</v>
      </c>
      <c r="W3" t="str">
        <v>Lucknow</v>
      </c>
      <c r="X3" t="str">
        <v>Uttar Pradesh</v>
      </c>
      <c r="Y3" t="str">
        <v>North</v>
      </c>
      <c r="Z3" t="str">
        <v>Electronics</v>
      </c>
      <c r="AA3" t="str">
        <v>TV</v>
      </c>
      <c r="AB3" t="str">
        <v>Neha</v>
      </c>
      <c r="AC3">
        <v>5</v>
      </c>
      <c r="AD3">
        <v>30000</v>
      </c>
      <c r="AE3">
        <v>10</v>
      </c>
      <c r="AF3">
        <v>135000</v>
      </c>
      <c r="AG3">
        <v>24300</v>
      </c>
      <c r="AK3" s="5" t="s">
        <v>31</v>
      </c>
      <c r="AM3" s="5" t="s">
        <v>33</v>
      </c>
    </row>
    <row r="4" spans="1:39" x14ac:dyDescent="0.3">
      <c r="A4">
        <v>2003</v>
      </c>
      <c r="B4" s="1">
        <v>45294</v>
      </c>
      <c r="C4" t="s">
        <v>21</v>
      </c>
      <c r="D4" t="s">
        <v>28</v>
      </c>
      <c r="E4" t="s">
        <v>29</v>
      </c>
      <c r="F4" t="s">
        <v>30</v>
      </c>
      <c r="G4" t="s">
        <v>31</v>
      </c>
      <c r="H4" t="s">
        <v>32</v>
      </c>
      <c r="I4" t="s">
        <v>33</v>
      </c>
      <c r="J4">
        <v>5</v>
      </c>
      <c r="K4">
        <v>800</v>
      </c>
      <c r="L4">
        <v>10</v>
      </c>
      <c r="M4">
        <v>3600</v>
      </c>
      <c r="N4">
        <v>1080</v>
      </c>
      <c r="T4">
        <v>2099</v>
      </c>
      <c r="U4">
        <v>45390</v>
      </c>
      <c r="V4" t="str">
        <v>Vikas Yadav</v>
      </c>
      <c r="W4" t="str">
        <v>Delhi</v>
      </c>
      <c r="X4" t="str">
        <v>Delhi</v>
      </c>
      <c r="Y4" t="str">
        <v>North</v>
      </c>
      <c r="Z4" t="str">
        <v>Electronics</v>
      </c>
      <c r="AA4" t="str">
        <v>Mobile</v>
      </c>
      <c r="AB4" t="str">
        <v>Neha</v>
      </c>
      <c r="AC4">
        <v>5</v>
      </c>
      <c r="AD4">
        <v>20000</v>
      </c>
      <c r="AE4">
        <v>5</v>
      </c>
      <c r="AF4">
        <v>95000</v>
      </c>
      <c r="AG4">
        <v>14250</v>
      </c>
      <c r="AK4" s="5" t="s">
        <v>18</v>
      </c>
      <c r="AM4" s="6" t="s">
        <v>38</v>
      </c>
    </row>
    <row r="5" spans="1:39" x14ac:dyDescent="0.3">
      <c r="A5">
        <v>2004</v>
      </c>
      <c r="B5" s="1">
        <v>45295</v>
      </c>
      <c r="C5" t="s">
        <v>34</v>
      </c>
      <c r="D5" t="s">
        <v>35</v>
      </c>
      <c r="E5" t="s">
        <v>36</v>
      </c>
      <c r="F5" t="s">
        <v>17</v>
      </c>
      <c r="G5" t="s">
        <v>31</v>
      </c>
      <c r="H5" t="s">
        <v>37</v>
      </c>
      <c r="I5" t="s">
        <v>38</v>
      </c>
      <c r="J5">
        <v>4</v>
      </c>
      <c r="K5">
        <v>1200</v>
      </c>
      <c r="L5">
        <v>10</v>
      </c>
      <c r="M5">
        <v>4320</v>
      </c>
      <c r="N5">
        <v>1209.5999999999999</v>
      </c>
      <c r="AM5" s="6" t="s">
        <v>45</v>
      </c>
    </row>
    <row r="6" spans="1:39" ht="15" thickBot="1" x14ac:dyDescent="0.35">
      <c r="A6">
        <v>2005</v>
      </c>
      <c r="B6" s="1">
        <v>45296</v>
      </c>
      <c r="C6" t="s">
        <v>39</v>
      </c>
      <c r="D6" t="s">
        <v>35</v>
      </c>
      <c r="E6" t="s">
        <v>36</v>
      </c>
      <c r="F6" t="s">
        <v>17</v>
      </c>
      <c r="G6" t="s">
        <v>18</v>
      </c>
      <c r="H6" t="s">
        <v>40</v>
      </c>
      <c r="I6" t="s">
        <v>38</v>
      </c>
      <c r="J6">
        <v>3</v>
      </c>
      <c r="K6">
        <v>55000</v>
      </c>
      <c r="L6">
        <v>5</v>
      </c>
      <c r="M6">
        <v>156750</v>
      </c>
      <c r="N6">
        <v>31350</v>
      </c>
      <c r="P6" s="3" t="s">
        <v>5</v>
      </c>
      <c r="Q6" s="3" t="s">
        <v>6</v>
      </c>
      <c r="R6" s="10" t="s">
        <v>68</v>
      </c>
      <c r="AM6" s="5" t="s">
        <v>20</v>
      </c>
    </row>
    <row r="7" spans="1:39" ht="15" thickTop="1" x14ac:dyDescent="0.3">
      <c r="A7">
        <v>2006</v>
      </c>
      <c r="B7" s="1">
        <v>45297</v>
      </c>
      <c r="C7" t="s">
        <v>41</v>
      </c>
      <c r="D7" t="s">
        <v>42</v>
      </c>
      <c r="E7" t="s">
        <v>43</v>
      </c>
      <c r="F7" t="s">
        <v>17</v>
      </c>
      <c r="G7" t="s">
        <v>25</v>
      </c>
      <c r="H7" t="s">
        <v>44</v>
      </c>
      <c r="I7" t="s">
        <v>45</v>
      </c>
      <c r="J7">
        <v>4</v>
      </c>
      <c r="K7">
        <v>4500</v>
      </c>
      <c r="L7">
        <v>10</v>
      </c>
      <c r="M7">
        <v>16200</v>
      </c>
      <c r="N7">
        <v>3240</v>
      </c>
      <c r="P7" t="s">
        <v>30</v>
      </c>
      <c r="Q7" t="s">
        <v>25</v>
      </c>
      <c r="R7">
        <f>SUMIFS(Table1[Sales Amount],Table1[Region],P7,Table1[Product Category],Q7)</f>
        <v>182325</v>
      </c>
      <c r="AJ7" t="str" cm="1">
        <f t="array" ref="AJ7:AJ12">_xlfn.UNIQUE(F:F)</f>
        <v>Region</v>
      </c>
      <c r="AM7" s="6" t="s">
        <v>51</v>
      </c>
    </row>
    <row r="8" spans="1:39" x14ac:dyDescent="0.3">
      <c r="A8">
        <v>2007</v>
      </c>
      <c r="B8" s="1">
        <v>45298</v>
      </c>
      <c r="C8" t="s">
        <v>46</v>
      </c>
      <c r="D8" t="s">
        <v>47</v>
      </c>
      <c r="E8" t="s">
        <v>48</v>
      </c>
      <c r="F8" t="s">
        <v>49</v>
      </c>
      <c r="G8" t="s">
        <v>25</v>
      </c>
      <c r="H8" t="s">
        <v>50</v>
      </c>
      <c r="I8" t="s">
        <v>20</v>
      </c>
      <c r="J8">
        <v>4</v>
      </c>
      <c r="K8">
        <v>2500</v>
      </c>
      <c r="L8">
        <v>0</v>
      </c>
      <c r="M8">
        <v>10000</v>
      </c>
      <c r="N8">
        <v>2200</v>
      </c>
      <c r="AJ8" t="str">
        <v>South</v>
      </c>
    </row>
    <row r="9" spans="1:39" x14ac:dyDescent="0.3">
      <c r="A9">
        <v>2008</v>
      </c>
      <c r="B9" s="1">
        <v>45299</v>
      </c>
      <c r="C9" t="s">
        <v>46</v>
      </c>
      <c r="D9" t="s">
        <v>35</v>
      </c>
      <c r="E9" t="s">
        <v>36</v>
      </c>
      <c r="F9" t="s">
        <v>17</v>
      </c>
      <c r="G9" t="s">
        <v>18</v>
      </c>
      <c r="H9" t="s">
        <v>19</v>
      </c>
      <c r="I9" t="s">
        <v>51</v>
      </c>
      <c r="J9">
        <v>1</v>
      </c>
      <c r="K9">
        <v>1500</v>
      </c>
      <c r="L9">
        <v>15</v>
      </c>
      <c r="M9">
        <v>1275</v>
      </c>
      <c r="N9">
        <v>318.75</v>
      </c>
      <c r="AJ9" t="str">
        <v>West</v>
      </c>
    </row>
    <row r="10" spans="1:39" ht="15" thickBot="1" x14ac:dyDescent="0.35">
      <c r="A10">
        <v>2009</v>
      </c>
      <c r="B10" s="1">
        <v>45300</v>
      </c>
      <c r="C10" t="s">
        <v>52</v>
      </c>
      <c r="D10" t="s">
        <v>53</v>
      </c>
      <c r="E10" t="s">
        <v>54</v>
      </c>
      <c r="F10" t="s">
        <v>49</v>
      </c>
      <c r="G10" t="s">
        <v>18</v>
      </c>
      <c r="H10" t="s">
        <v>19</v>
      </c>
      <c r="I10" t="s">
        <v>27</v>
      </c>
      <c r="J10">
        <v>5</v>
      </c>
      <c r="K10">
        <v>1500</v>
      </c>
      <c r="L10">
        <v>0</v>
      </c>
      <c r="M10">
        <v>7500</v>
      </c>
      <c r="N10">
        <v>1875</v>
      </c>
      <c r="P10" s="3" t="s">
        <v>5</v>
      </c>
      <c r="Q10" s="3" t="s">
        <v>6</v>
      </c>
      <c r="R10" s="10" t="s">
        <v>69</v>
      </c>
      <c r="AJ10" t="str">
        <v>North</v>
      </c>
    </row>
    <row r="11" spans="1:39" ht="15" thickTop="1" x14ac:dyDescent="0.3">
      <c r="A11">
        <v>2010</v>
      </c>
      <c r="B11" s="1">
        <v>45301</v>
      </c>
      <c r="C11" t="s">
        <v>55</v>
      </c>
      <c r="D11" t="s">
        <v>47</v>
      </c>
      <c r="E11" t="s">
        <v>48</v>
      </c>
      <c r="F11" t="s">
        <v>49</v>
      </c>
      <c r="G11" t="s">
        <v>31</v>
      </c>
      <c r="H11" t="s">
        <v>37</v>
      </c>
      <c r="I11" t="s">
        <v>20</v>
      </c>
      <c r="J11">
        <v>1</v>
      </c>
      <c r="K11">
        <v>1200</v>
      </c>
      <c r="L11">
        <v>10</v>
      </c>
      <c r="M11">
        <v>1080</v>
      </c>
      <c r="N11">
        <v>302.39999999999998</v>
      </c>
      <c r="P11" t="s">
        <v>17</v>
      </c>
      <c r="Q11" t="s">
        <v>18</v>
      </c>
      <c r="R11">
        <f>COUNTIFS(Table1[Region],P11,Table1[Product Category],Q11)</f>
        <v>13</v>
      </c>
      <c r="AJ11" t="str">
        <v>East</v>
      </c>
    </row>
    <row r="12" spans="1:39" x14ac:dyDescent="0.3">
      <c r="A12">
        <v>2011</v>
      </c>
      <c r="B12" s="1">
        <v>45302</v>
      </c>
      <c r="C12" t="s">
        <v>39</v>
      </c>
      <c r="D12" t="s">
        <v>53</v>
      </c>
      <c r="E12" t="s">
        <v>54</v>
      </c>
      <c r="F12" t="s">
        <v>49</v>
      </c>
      <c r="G12" t="s">
        <v>31</v>
      </c>
      <c r="H12" t="s">
        <v>37</v>
      </c>
      <c r="I12" t="s">
        <v>45</v>
      </c>
      <c r="J12">
        <v>1</v>
      </c>
      <c r="K12">
        <v>1200</v>
      </c>
      <c r="L12">
        <v>15</v>
      </c>
      <c r="M12">
        <v>1020</v>
      </c>
      <c r="N12">
        <v>285.60000000000002</v>
      </c>
      <c r="AJ12">
        <v>0</v>
      </c>
    </row>
    <row r="13" spans="1:39" x14ac:dyDescent="0.3">
      <c r="A13">
        <v>2012</v>
      </c>
      <c r="B13" s="1">
        <v>45303</v>
      </c>
      <c r="C13" t="s">
        <v>21</v>
      </c>
      <c r="D13" t="s">
        <v>15</v>
      </c>
      <c r="E13" t="s">
        <v>16</v>
      </c>
      <c r="F13" t="s">
        <v>17</v>
      </c>
      <c r="G13" t="s">
        <v>31</v>
      </c>
      <c r="H13" t="s">
        <v>32</v>
      </c>
      <c r="I13" t="s">
        <v>27</v>
      </c>
      <c r="J13">
        <v>2</v>
      </c>
      <c r="K13">
        <v>800</v>
      </c>
      <c r="L13">
        <v>0</v>
      </c>
      <c r="M13">
        <v>1600</v>
      </c>
      <c r="N13">
        <v>480</v>
      </c>
    </row>
    <row r="14" spans="1:39" x14ac:dyDescent="0.3">
      <c r="A14">
        <v>2013</v>
      </c>
      <c r="B14" s="1">
        <v>45304</v>
      </c>
      <c r="C14" t="s">
        <v>56</v>
      </c>
      <c r="D14" t="s">
        <v>57</v>
      </c>
      <c r="E14" t="s">
        <v>58</v>
      </c>
      <c r="F14" t="s">
        <v>24</v>
      </c>
      <c r="G14" t="s">
        <v>25</v>
      </c>
      <c r="H14" t="s">
        <v>50</v>
      </c>
      <c r="I14" t="s">
        <v>38</v>
      </c>
      <c r="J14">
        <v>2</v>
      </c>
      <c r="K14">
        <v>2500</v>
      </c>
      <c r="L14">
        <v>15</v>
      </c>
      <c r="M14">
        <v>4250</v>
      </c>
      <c r="N14">
        <v>935</v>
      </c>
    </row>
    <row r="15" spans="1:39" x14ac:dyDescent="0.3">
      <c r="A15">
        <v>2014</v>
      </c>
      <c r="B15" s="1">
        <v>45305</v>
      </c>
      <c r="C15" t="s">
        <v>52</v>
      </c>
      <c r="D15" t="s">
        <v>59</v>
      </c>
      <c r="E15" t="s">
        <v>60</v>
      </c>
      <c r="F15" t="s">
        <v>30</v>
      </c>
      <c r="G15" t="s">
        <v>31</v>
      </c>
      <c r="H15" t="s">
        <v>61</v>
      </c>
      <c r="I15" t="s">
        <v>20</v>
      </c>
      <c r="J15">
        <v>5</v>
      </c>
      <c r="K15">
        <v>2500</v>
      </c>
      <c r="L15">
        <v>15</v>
      </c>
      <c r="M15">
        <v>10625</v>
      </c>
      <c r="N15">
        <v>2656.25</v>
      </c>
    </row>
    <row r="16" spans="1:39" x14ac:dyDescent="0.3">
      <c r="A16">
        <v>2015</v>
      </c>
      <c r="B16" s="1">
        <v>45306</v>
      </c>
      <c r="C16" t="s">
        <v>41</v>
      </c>
      <c r="D16" t="s">
        <v>22</v>
      </c>
      <c r="E16" t="s">
        <v>23</v>
      </c>
      <c r="F16" t="s">
        <v>24</v>
      </c>
      <c r="G16" t="s">
        <v>18</v>
      </c>
      <c r="H16" t="s">
        <v>62</v>
      </c>
      <c r="I16" t="s">
        <v>51</v>
      </c>
      <c r="J16">
        <v>3</v>
      </c>
      <c r="K16">
        <v>30000</v>
      </c>
      <c r="L16">
        <v>15</v>
      </c>
      <c r="M16">
        <v>76500</v>
      </c>
      <c r="N16">
        <v>13770</v>
      </c>
    </row>
    <row r="17" spans="1:14" x14ac:dyDescent="0.3">
      <c r="A17">
        <v>2016</v>
      </c>
      <c r="B17" s="1">
        <v>45307</v>
      </c>
      <c r="C17" t="s">
        <v>63</v>
      </c>
      <c r="D17" t="s">
        <v>22</v>
      </c>
      <c r="E17" t="s">
        <v>23</v>
      </c>
      <c r="F17" t="s">
        <v>24</v>
      </c>
      <c r="G17" t="s">
        <v>18</v>
      </c>
      <c r="H17" t="s">
        <v>64</v>
      </c>
      <c r="I17" t="s">
        <v>33</v>
      </c>
      <c r="J17">
        <v>4</v>
      </c>
      <c r="K17">
        <v>20000</v>
      </c>
      <c r="L17">
        <v>5</v>
      </c>
      <c r="M17">
        <v>76000</v>
      </c>
      <c r="N17">
        <v>11400</v>
      </c>
    </row>
    <row r="18" spans="1:14" x14ac:dyDescent="0.3">
      <c r="A18">
        <v>2017</v>
      </c>
      <c r="B18" s="1">
        <v>45308</v>
      </c>
      <c r="C18" t="s">
        <v>46</v>
      </c>
      <c r="D18" t="s">
        <v>65</v>
      </c>
      <c r="E18" t="s">
        <v>65</v>
      </c>
      <c r="F18" t="s">
        <v>30</v>
      </c>
      <c r="G18" t="s">
        <v>31</v>
      </c>
      <c r="H18" t="s">
        <v>37</v>
      </c>
      <c r="I18" t="s">
        <v>38</v>
      </c>
      <c r="J18">
        <v>1</v>
      </c>
      <c r="K18">
        <v>1200</v>
      </c>
      <c r="L18">
        <v>15</v>
      </c>
      <c r="M18">
        <v>1020</v>
      </c>
      <c r="N18">
        <v>285.60000000000002</v>
      </c>
    </row>
    <row r="19" spans="1:14" x14ac:dyDescent="0.3">
      <c r="A19">
        <v>2018</v>
      </c>
      <c r="B19" s="1">
        <v>45309</v>
      </c>
      <c r="C19" t="s">
        <v>34</v>
      </c>
      <c r="D19" t="s">
        <v>65</v>
      </c>
      <c r="E19" t="s">
        <v>65</v>
      </c>
      <c r="F19" t="s">
        <v>30</v>
      </c>
      <c r="G19" t="s">
        <v>18</v>
      </c>
      <c r="H19" t="s">
        <v>40</v>
      </c>
      <c r="I19" t="s">
        <v>33</v>
      </c>
      <c r="J19">
        <v>1</v>
      </c>
      <c r="K19">
        <v>55000</v>
      </c>
      <c r="L19">
        <v>5</v>
      </c>
      <c r="M19">
        <v>52250</v>
      </c>
      <c r="N19">
        <v>10450</v>
      </c>
    </row>
    <row r="20" spans="1:14" x14ac:dyDescent="0.3">
      <c r="A20">
        <v>2019</v>
      </c>
      <c r="B20" s="1">
        <v>45310</v>
      </c>
      <c r="C20" t="s">
        <v>41</v>
      </c>
      <c r="D20" t="s">
        <v>53</v>
      </c>
      <c r="E20" t="s">
        <v>54</v>
      </c>
      <c r="F20" t="s">
        <v>49</v>
      </c>
      <c r="G20" t="s">
        <v>31</v>
      </c>
      <c r="H20" t="s">
        <v>32</v>
      </c>
      <c r="I20" t="s">
        <v>20</v>
      </c>
      <c r="J20">
        <v>4</v>
      </c>
      <c r="K20">
        <v>800</v>
      </c>
      <c r="L20">
        <v>5</v>
      </c>
      <c r="M20">
        <v>3040</v>
      </c>
      <c r="N20">
        <v>912</v>
      </c>
    </row>
    <row r="21" spans="1:14" x14ac:dyDescent="0.3">
      <c r="A21">
        <v>2020</v>
      </c>
      <c r="B21" s="1">
        <v>45311</v>
      </c>
      <c r="C21" t="s">
        <v>46</v>
      </c>
      <c r="D21" t="s">
        <v>42</v>
      </c>
      <c r="E21" t="s">
        <v>43</v>
      </c>
      <c r="F21" t="s">
        <v>17</v>
      </c>
      <c r="G21" t="s">
        <v>18</v>
      </c>
      <c r="H21" t="s">
        <v>62</v>
      </c>
      <c r="I21" t="s">
        <v>27</v>
      </c>
      <c r="J21">
        <v>2</v>
      </c>
      <c r="K21">
        <v>30000</v>
      </c>
      <c r="L21">
        <v>0</v>
      </c>
      <c r="M21">
        <v>60000</v>
      </c>
      <c r="N21">
        <v>10800</v>
      </c>
    </row>
    <row r="22" spans="1:14" x14ac:dyDescent="0.3">
      <c r="A22">
        <v>2021</v>
      </c>
      <c r="B22" s="1">
        <v>45312</v>
      </c>
      <c r="C22" t="s">
        <v>63</v>
      </c>
      <c r="D22" t="s">
        <v>47</v>
      </c>
      <c r="E22" t="s">
        <v>48</v>
      </c>
      <c r="F22" t="s">
        <v>49</v>
      </c>
      <c r="G22" t="s">
        <v>25</v>
      </c>
      <c r="H22" t="s">
        <v>44</v>
      </c>
      <c r="I22" t="s">
        <v>38</v>
      </c>
      <c r="J22">
        <v>2</v>
      </c>
      <c r="K22">
        <v>4500</v>
      </c>
      <c r="L22">
        <v>5</v>
      </c>
      <c r="M22">
        <v>8550</v>
      </c>
      <c r="N22">
        <v>1710</v>
      </c>
    </row>
    <row r="23" spans="1:14" x14ac:dyDescent="0.3">
      <c r="A23">
        <v>2022</v>
      </c>
      <c r="B23" s="1">
        <v>45313</v>
      </c>
      <c r="C23" t="s">
        <v>14</v>
      </c>
      <c r="D23" t="s">
        <v>35</v>
      </c>
      <c r="E23" t="s">
        <v>36</v>
      </c>
      <c r="F23" t="s">
        <v>17</v>
      </c>
      <c r="G23" t="s">
        <v>31</v>
      </c>
      <c r="H23" t="s">
        <v>32</v>
      </c>
      <c r="I23" t="s">
        <v>45</v>
      </c>
      <c r="J23">
        <v>4</v>
      </c>
      <c r="K23">
        <v>800</v>
      </c>
      <c r="L23">
        <v>10</v>
      </c>
      <c r="M23">
        <v>2880</v>
      </c>
      <c r="N23">
        <v>864</v>
      </c>
    </row>
    <row r="24" spans="1:14" x14ac:dyDescent="0.3">
      <c r="A24">
        <v>2023</v>
      </c>
      <c r="B24" s="1">
        <v>45314</v>
      </c>
      <c r="C24" t="s">
        <v>46</v>
      </c>
      <c r="D24" t="s">
        <v>42</v>
      </c>
      <c r="E24" t="s">
        <v>43</v>
      </c>
      <c r="F24" t="s">
        <v>17</v>
      </c>
      <c r="G24" t="s">
        <v>25</v>
      </c>
      <c r="H24" t="s">
        <v>26</v>
      </c>
      <c r="I24" t="s">
        <v>51</v>
      </c>
      <c r="J24">
        <v>2</v>
      </c>
      <c r="K24">
        <v>25000</v>
      </c>
      <c r="L24">
        <v>0</v>
      </c>
      <c r="M24">
        <v>50000</v>
      </c>
      <c r="N24">
        <v>9000</v>
      </c>
    </row>
    <row r="25" spans="1:14" x14ac:dyDescent="0.3">
      <c r="A25">
        <v>2024</v>
      </c>
      <c r="B25" s="1">
        <v>45315</v>
      </c>
      <c r="C25" t="s">
        <v>63</v>
      </c>
      <c r="D25" t="s">
        <v>53</v>
      </c>
      <c r="E25" t="s">
        <v>54</v>
      </c>
      <c r="F25" t="s">
        <v>49</v>
      </c>
      <c r="G25" t="s">
        <v>25</v>
      </c>
      <c r="H25" t="s">
        <v>50</v>
      </c>
      <c r="I25" t="s">
        <v>38</v>
      </c>
      <c r="J25">
        <v>5</v>
      </c>
      <c r="K25">
        <v>2500</v>
      </c>
      <c r="L25">
        <v>0</v>
      </c>
      <c r="M25">
        <v>12500</v>
      </c>
      <c r="N25">
        <v>2750</v>
      </c>
    </row>
    <row r="26" spans="1:14" x14ac:dyDescent="0.3">
      <c r="A26">
        <v>2025</v>
      </c>
      <c r="B26" s="1">
        <v>45316</v>
      </c>
      <c r="C26" t="s">
        <v>41</v>
      </c>
      <c r="D26" t="s">
        <v>59</v>
      </c>
      <c r="E26" t="s">
        <v>60</v>
      </c>
      <c r="F26" t="s">
        <v>30</v>
      </c>
      <c r="G26" t="s">
        <v>18</v>
      </c>
      <c r="H26" t="s">
        <v>62</v>
      </c>
      <c r="I26" t="s">
        <v>27</v>
      </c>
      <c r="J26">
        <v>3</v>
      </c>
      <c r="K26">
        <v>30000</v>
      </c>
      <c r="L26">
        <v>10</v>
      </c>
      <c r="M26">
        <v>81000</v>
      </c>
      <c r="N26">
        <v>14580</v>
      </c>
    </row>
    <row r="27" spans="1:14" x14ac:dyDescent="0.3">
      <c r="A27">
        <v>2026</v>
      </c>
      <c r="B27" s="1">
        <v>45317</v>
      </c>
      <c r="C27" t="s">
        <v>41</v>
      </c>
      <c r="D27" t="s">
        <v>35</v>
      </c>
      <c r="E27" t="s">
        <v>36</v>
      </c>
      <c r="F27" t="s">
        <v>17</v>
      </c>
      <c r="G27" t="s">
        <v>31</v>
      </c>
      <c r="H27" t="s">
        <v>37</v>
      </c>
      <c r="I27" t="s">
        <v>33</v>
      </c>
      <c r="J27">
        <v>1</v>
      </c>
      <c r="K27">
        <v>1200</v>
      </c>
      <c r="L27">
        <v>15</v>
      </c>
      <c r="M27">
        <v>1020</v>
      </c>
      <c r="N27">
        <v>285.60000000000002</v>
      </c>
    </row>
    <row r="28" spans="1:14" x14ac:dyDescent="0.3">
      <c r="A28">
        <v>2027</v>
      </c>
      <c r="B28" s="1">
        <v>45318</v>
      </c>
      <c r="C28" t="s">
        <v>34</v>
      </c>
      <c r="D28" t="s">
        <v>53</v>
      </c>
      <c r="E28" t="s">
        <v>54</v>
      </c>
      <c r="F28" t="s">
        <v>49</v>
      </c>
      <c r="G28" t="s">
        <v>18</v>
      </c>
      <c r="H28" t="s">
        <v>40</v>
      </c>
      <c r="I28" t="s">
        <v>33</v>
      </c>
      <c r="J28">
        <v>2</v>
      </c>
      <c r="K28">
        <v>55000</v>
      </c>
      <c r="L28">
        <v>5</v>
      </c>
      <c r="M28">
        <v>104500</v>
      </c>
      <c r="N28">
        <v>20900</v>
      </c>
    </row>
    <row r="29" spans="1:14" x14ac:dyDescent="0.3">
      <c r="A29">
        <v>2028</v>
      </c>
      <c r="B29" s="1">
        <v>45319</v>
      </c>
      <c r="C29" t="s">
        <v>63</v>
      </c>
      <c r="D29" t="s">
        <v>59</v>
      </c>
      <c r="E29" t="s">
        <v>60</v>
      </c>
      <c r="F29" t="s">
        <v>30</v>
      </c>
      <c r="G29" t="s">
        <v>18</v>
      </c>
      <c r="H29" t="s">
        <v>40</v>
      </c>
      <c r="I29" t="s">
        <v>20</v>
      </c>
      <c r="J29">
        <v>4</v>
      </c>
      <c r="K29">
        <v>55000</v>
      </c>
      <c r="L29">
        <v>5</v>
      </c>
      <c r="M29">
        <v>209000</v>
      </c>
      <c r="N29">
        <v>41800</v>
      </c>
    </row>
    <row r="30" spans="1:14" x14ac:dyDescent="0.3">
      <c r="A30">
        <v>2029</v>
      </c>
      <c r="B30" s="1">
        <v>45320</v>
      </c>
      <c r="C30" t="s">
        <v>46</v>
      </c>
      <c r="D30" t="s">
        <v>65</v>
      </c>
      <c r="E30" t="s">
        <v>65</v>
      </c>
      <c r="F30" t="s">
        <v>30</v>
      </c>
      <c r="G30" t="s">
        <v>18</v>
      </c>
      <c r="H30" t="s">
        <v>40</v>
      </c>
      <c r="I30" t="s">
        <v>51</v>
      </c>
      <c r="J30">
        <v>5</v>
      </c>
      <c r="K30">
        <v>55000</v>
      </c>
      <c r="L30">
        <v>15</v>
      </c>
      <c r="M30">
        <v>233750</v>
      </c>
      <c r="N30">
        <v>46750</v>
      </c>
    </row>
    <row r="31" spans="1:14" x14ac:dyDescent="0.3">
      <c r="A31">
        <v>2030</v>
      </c>
      <c r="B31" s="1">
        <v>45321</v>
      </c>
      <c r="C31" t="s">
        <v>56</v>
      </c>
      <c r="D31" t="s">
        <v>22</v>
      </c>
      <c r="E31" t="s">
        <v>23</v>
      </c>
      <c r="F31" t="s">
        <v>24</v>
      </c>
      <c r="G31" t="s">
        <v>25</v>
      </c>
      <c r="H31" t="s">
        <v>26</v>
      </c>
      <c r="I31" t="s">
        <v>51</v>
      </c>
      <c r="J31">
        <v>1</v>
      </c>
      <c r="K31">
        <v>25000</v>
      </c>
      <c r="L31">
        <v>0</v>
      </c>
      <c r="M31">
        <v>25000</v>
      </c>
      <c r="N31">
        <v>4500</v>
      </c>
    </row>
    <row r="32" spans="1:14" x14ac:dyDescent="0.3">
      <c r="A32">
        <v>2031</v>
      </c>
      <c r="B32" s="1">
        <v>45322</v>
      </c>
      <c r="C32" t="s">
        <v>41</v>
      </c>
      <c r="D32" t="s">
        <v>57</v>
      </c>
      <c r="E32" t="s">
        <v>58</v>
      </c>
      <c r="F32" t="s">
        <v>24</v>
      </c>
      <c r="G32" t="s">
        <v>31</v>
      </c>
      <c r="H32" t="s">
        <v>37</v>
      </c>
      <c r="I32" t="s">
        <v>27</v>
      </c>
      <c r="J32">
        <v>3</v>
      </c>
      <c r="K32">
        <v>1200</v>
      </c>
      <c r="L32">
        <v>15</v>
      </c>
      <c r="M32">
        <v>3060</v>
      </c>
      <c r="N32">
        <v>856.8</v>
      </c>
    </row>
    <row r="33" spans="1:14" x14ac:dyDescent="0.3">
      <c r="A33">
        <v>2032</v>
      </c>
      <c r="B33" s="1">
        <v>45323</v>
      </c>
      <c r="C33" t="s">
        <v>52</v>
      </c>
      <c r="D33" t="s">
        <v>59</v>
      </c>
      <c r="E33" t="s">
        <v>60</v>
      </c>
      <c r="F33" t="s">
        <v>30</v>
      </c>
      <c r="G33" t="s">
        <v>31</v>
      </c>
      <c r="H33" t="s">
        <v>32</v>
      </c>
      <c r="I33" t="s">
        <v>20</v>
      </c>
      <c r="J33">
        <v>2</v>
      </c>
      <c r="K33">
        <v>800</v>
      </c>
      <c r="L33">
        <v>5</v>
      </c>
      <c r="M33">
        <v>1520</v>
      </c>
      <c r="N33">
        <v>456</v>
      </c>
    </row>
    <row r="34" spans="1:14" x14ac:dyDescent="0.3">
      <c r="A34">
        <v>2033</v>
      </c>
      <c r="B34" s="1">
        <v>45324</v>
      </c>
      <c r="C34" t="s">
        <v>41</v>
      </c>
      <c r="D34" t="s">
        <v>47</v>
      </c>
      <c r="E34" t="s">
        <v>48</v>
      </c>
      <c r="F34" t="s">
        <v>49</v>
      </c>
      <c r="G34" t="s">
        <v>18</v>
      </c>
      <c r="H34" t="s">
        <v>62</v>
      </c>
      <c r="I34" t="s">
        <v>27</v>
      </c>
      <c r="J34">
        <v>2</v>
      </c>
      <c r="K34">
        <v>30000</v>
      </c>
      <c r="L34">
        <v>5</v>
      </c>
      <c r="M34">
        <v>57000</v>
      </c>
      <c r="N34">
        <v>10260</v>
      </c>
    </row>
    <row r="35" spans="1:14" x14ac:dyDescent="0.3">
      <c r="A35">
        <v>2034</v>
      </c>
      <c r="B35" s="1">
        <v>45325</v>
      </c>
      <c r="C35" t="s">
        <v>55</v>
      </c>
      <c r="D35" t="s">
        <v>42</v>
      </c>
      <c r="E35" t="s">
        <v>43</v>
      </c>
      <c r="F35" t="s">
        <v>17</v>
      </c>
      <c r="G35" t="s">
        <v>25</v>
      </c>
      <c r="H35" t="s">
        <v>44</v>
      </c>
      <c r="I35" t="s">
        <v>27</v>
      </c>
      <c r="J35">
        <v>5</v>
      </c>
      <c r="K35">
        <v>4500</v>
      </c>
      <c r="L35">
        <v>10</v>
      </c>
      <c r="M35">
        <v>20250</v>
      </c>
      <c r="N35">
        <v>4050</v>
      </c>
    </row>
    <row r="36" spans="1:14" x14ac:dyDescent="0.3">
      <c r="A36">
        <v>2035</v>
      </c>
      <c r="B36" s="1">
        <v>45326</v>
      </c>
      <c r="C36" t="s">
        <v>21</v>
      </c>
      <c r="D36" t="s">
        <v>47</v>
      </c>
      <c r="E36" t="s">
        <v>48</v>
      </c>
      <c r="F36" t="s">
        <v>49</v>
      </c>
      <c r="G36" t="s">
        <v>18</v>
      </c>
      <c r="H36" t="s">
        <v>40</v>
      </c>
      <c r="I36" t="s">
        <v>27</v>
      </c>
      <c r="J36">
        <v>1</v>
      </c>
      <c r="K36">
        <v>55000</v>
      </c>
      <c r="L36">
        <v>10</v>
      </c>
      <c r="M36">
        <v>49500</v>
      </c>
      <c r="N36">
        <v>9900</v>
      </c>
    </row>
    <row r="37" spans="1:14" x14ac:dyDescent="0.3">
      <c r="A37">
        <v>2036</v>
      </c>
      <c r="B37" s="1">
        <v>45327</v>
      </c>
      <c r="C37" t="s">
        <v>63</v>
      </c>
      <c r="D37" t="s">
        <v>65</v>
      </c>
      <c r="E37" t="s">
        <v>65</v>
      </c>
      <c r="F37" t="s">
        <v>30</v>
      </c>
      <c r="G37" t="s">
        <v>18</v>
      </c>
      <c r="H37" t="s">
        <v>40</v>
      </c>
      <c r="I37" t="s">
        <v>38</v>
      </c>
      <c r="J37">
        <v>1</v>
      </c>
      <c r="K37">
        <v>55000</v>
      </c>
      <c r="L37">
        <v>15</v>
      </c>
      <c r="M37">
        <v>46750</v>
      </c>
      <c r="N37">
        <v>9350</v>
      </c>
    </row>
    <row r="38" spans="1:14" x14ac:dyDescent="0.3">
      <c r="A38">
        <v>2037</v>
      </c>
      <c r="B38" s="1">
        <v>45328</v>
      </c>
      <c r="C38" t="s">
        <v>41</v>
      </c>
      <c r="D38" t="s">
        <v>59</v>
      </c>
      <c r="E38" t="s">
        <v>60</v>
      </c>
      <c r="F38" t="s">
        <v>30</v>
      </c>
      <c r="G38" t="s">
        <v>18</v>
      </c>
      <c r="H38" t="s">
        <v>64</v>
      </c>
      <c r="I38" t="s">
        <v>45</v>
      </c>
      <c r="J38">
        <v>1</v>
      </c>
      <c r="K38">
        <v>20000</v>
      </c>
      <c r="L38">
        <v>0</v>
      </c>
      <c r="M38">
        <v>20000</v>
      </c>
      <c r="N38">
        <v>3000</v>
      </c>
    </row>
    <row r="39" spans="1:14" x14ac:dyDescent="0.3">
      <c r="A39">
        <v>2038</v>
      </c>
      <c r="B39" s="1">
        <v>45329</v>
      </c>
      <c r="C39" t="s">
        <v>41</v>
      </c>
      <c r="D39" t="s">
        <v>42</v>
      </c>
      <c r="E39" t="s">
        <v>43</v>
      </c>
      <c r="F39" t="s">
        <v>17</v>
      </c>
      <c r="G39" t="s">
        <v>18</v>
      </c>
      <c r="H39" t="s">
        <v>19</v>
      </c>
      <c r="I39" t="s">
        <v>33</v>
      </c>
      <c r="J39">
        <v>1</v>
      </c>
      <c r="K39">
        <v>1500</v>
      </c>
      <c r="L39">
        <v>15</v>
      </c>
      <c r="M39">
        <v>1275</v>
      </c>
      <c r="N39">
        <v>318.75</v>
      </c>
    </row>
    <row r="40" spans="1:14" x14ac:dyDescent="0.3">
      <c r="A40">
        <v>2039</v>
      </c>
      <c r="B40" s="1">
        <v>45330</v>
      </c>
      <c r="C40" t="s">
        <v>55</v>
      </c>
      <c r="D40" t="s">
        <v>53</v>
      </c>
      <c r="E40" t="s">
        <v>54</v>
      </c>
      <c r="F40" t="s">
        <v>49</v>
      </c>
      <c r="G40" t="s">
        <v>18</v>
      </c>
      <c r="H40" t="s">
        <v>40</v>
      </c>
      <c r="I40" t="s">
        <v>51</v>
      </c>
      <c r="J40">
        <v>3</v>
      </c>
      <c r="K40">
        <v>55000</v>
      </c>
      <c r="L40">
        <v>10</v>
      </c>
      <c r="M40">
        <v>148500</v>
      </c>
      <c r="N40">
        <v>29700</v>
      </c>
    </row>
    <row r="41" spans="1:14" x14ac:dyDescent="0.3">
      <c r="A41">
        <v>2040</v>
      </c>
      <c r="B41" s="1">
        <v>45331</v>
      </c>
      <c r="C41" t="s">
        <v>55</v>
      </c>
      <c r="D41" t="s">
        <v>57</v>
      </c>
      <c r="E41" t="s">
        <v>58</v>
      </c>
      <c r="F41" t="s">
        <v>24</v>
      </c>
      <c r="G41" t="s">
        <v>25</v>
      </c>
      <c r="H41" t="s">
        <v>26</v>
      </c>
      <c r="I41" t="s">
        <v>27</v>
      </c>
      <c r="J41">
        <v>4</v>
      </c>
      <c r="K41">
        <v>25000</v>
      </c>
      <c r="L41">
        <v>0</v>
      </c>
      <c r="M41">
        <v>100000</v>
      </c>
      <c r="N41">
        <v>18000</v>
      </c>
    </row>
    <row r="42" spans="1:14" x14ac:dyDescent="0.3">
      <c r="A42">
        <v>2041</v>
      </c>
      <c r="B42" s="1">
        <v>45332</v>
      </c>
      <c r="C42" t="s">
        <v>21</v>
      </c>
      <c r="D42" t="s">
        <v>35</v>
      </c>
      <c r="E42" t="s">
        <v>36</v>
      </c>
      <c r="F42" t="s">
        <v>17</v>
      </c>
      <c r="G42" t="s">
        <v>31</v>
      </c>
      <c r="H42" t="s">
        <v>61</v>
      </c>
      <c r="I42" t="s">
        <v>33</v>
      </c>
      <c r="J42">
        <v>4</v>
      </c>
      <c r="K42">
        <v>2500</v>
      </c>
      <c r="L42">
        <v>0</v>
      </c>
      <c r="M42">
        <v>10000</v>
      </c>
      <c r="N42">
        <v>2500</v>
      </c>
    </row>
    <row r="43" spans="1:14" x14ac:dyDescent="0.3">
      <c r="A43">
        <v>2042</v>
      </c>
      <c r="B43" s="1">
        <v>45333</v>
      </c>
      <c r="C43" t="s">
        <v>46</v>
      </c>
      <c r="D43" t="s">
        <v>47</v>
      </c>
      <c r="E43" t="s">
        <v>48</v>
      </c>
      <c r="F43" t="s">
        <v>49</v>
      </c>
      <c r="G43" t="s">
        <v>31</v>
      </c>
      <c r="H43" t="s">
        <v>37</v>
      </c>
      <c r="I43" t="s">
        <v>38</v>
      </c>
      <c r="J43">
        <v>3</v>
      </c>
      <c r="K43">
        <v>1200</v>
      </c>
      <c r="L43">
        <v>0</v>
      </c>
      <c r="M43">
        <v>3600</v>
      </c>
      <c r="N43">
        <v>1008</v>
      </c>
    </row>
    <row r="44" spans="1:14" x14ac:dyDescent="0.3">
      <c r="A44">
        <v>2043</v>
      </c>
      <c r="B44" s="1">
        <v>45334</v>
      </c>
      <c r="C44" t="s">
        <v>34</v>
      </c>
      <c r="D44" t="s">
        <v>59</v>
      </c>
      <c r="E44" t="s">
        <v>60</v>
      </c>
      <c r="F44" t="s">
        <v>30</v>
      </c>
      <c r="G44" t="s">
        <v>18</v>
      </c>
      <c r="H44" t="s">
        <v>19</v>
      </c>
      <c r="I44" t="s">
        <v>51</v>
      </c>
      <c r="J44">
        <v>4</v>
      </c>
      <c r="K44">
        <v>1500</v>
      </c>
      <c r="L44">
        <v>15</v>
      </c>
      <c r="M44">
        <v>5100</v>
      </c>
      <c r="N44">
        <v>1275</v>
      </c>
    </row>
    <row r="45" spans="1:14" x14ac:dyDescent="0.3">
      <c r="A45">
        <v>2044</v>
      </c>
      <c r="B45" s="1">
        <v>45335</v>
      </c>
      <c r="C45" t="s">
        <v>55</v>
      </c>
      <c r="D45" t="s">
        <v>53</v>
      </c>
      <c r="E45" t="s">
        <v>54</v>
      </c>
      <c r="F45" t="s">
        <v>49</v>
      </c>
      <c r="G45" t="s">
        <v>18</v>
      </c>
      <c r="H45" t="s">
        <v>64</v>
      </c>
      <c r="I45" t="s">
        <v>38</v>
      </c>
      <c r="J45">
        <v>3</v>
      </c>
      <c r="K45">
        <v>20000</v>
      </c>
      <c r="L45">
        <v>5</v>
      </c>
      <c r="M45">
        <v>57000</v>
      </c>
      <c r="N45">
        <v>8550</v>
      </c>
    </row>
    <row r="46" spans="1:14" x14ac:dyDescent="0.3">
      <c r="A46">
        <v>2045</v>
      </c>
      <c r="B46" s="1">
        <v>45336</v>
      </c>
      <c r="C46" t="s">
        <v>39</v>
      </c>
      <c r="D46" t="s">
        <v>53</v>
      </c>
      <c r="E46" t="s">
        <v>54</v>
      </c>
      <c r="F46" t="s">
        <v>49</v>
      </c>
      <c r="G46" t="s">
        <v>31</v>
      </c>
      <c r="H46" t="s">
        <v>61</v>
      </c>
      <c r="I46" t="s">
        <v>45</v>
      </c>
      <c r="J46">
        <v>3</v>
      </c>
      <c r="K46">
        <v>2500</v>
      </c>
      <c r="L46">
        <v>5</v>
      </c>
      <c r="M46">
        <v>7125</v>
      </c>
      <c r="N46">
        <v>1781.25</v>
      </c>
    </row>
    <row r="47" spans="1:14" x14ac:dyDescent="0.3">
      <c r="A47">
        <v>2046</v>
      </c>
      <c r="B47" s="1">
        <v>45337</v>
      </c>
      <c r="C47" t="s">
        <v>39</v>
      </c>
      <c r="D47" t="s">
        <v>59</v>
      </c>
      <c r="E47" t="s">
        <v>60</v>
      </c>
      <c r="F47" t="s">
        <v>30</v>
      </c>
      <c r="G47" t="s">
        <v>25</v>
      </c>
      <c r="H47" t="s">
        <v>44</v>
      </c>
      <c r="I47" t="s">
        <v>33</v>
      </c>
      <c r="J47">
        <v>5</v>
      </c>
      <c r="K47">
        <v>4500</v>
      </c>
      <c r="L47">
        <v>5</v>
      </c>
      <c r="M47">
        <v>21375</v>
      </c>
      <c r="N47">
        <v>4275</v>
      </c>
    </row>
    <row r="48" spans="1:14" x14ac:dyDescent="0.3">
      <c r="A48">
        <v>2047</v>
      </c>
      <c r="B48" s="1">
        <v>45338</v>
      </c>
      <c r="C48" t="s">
        <v>41</v>
      </c>
      <c r="D48" t="s">
        <v>28</v>
      </c>
      <c r="E48" t="s">
        <v>29</v>
      </c>
      <c r="F48" t="s">
        <v>30</v>
      </c>
      <c r="G48" t="s">
        <v>18</v>
      </c>
      <c r="H48" t="s">
        <v>19</v>
      </c>
      <c r="I48" t="s">
        <v>33</v>
      </c>
      <c r="J48">
        <v>4</v>
      </c>
      <c r="K48">
        <v>1500</v>
      </c>
      <c r="L48">
        <v>0</v>
      </c>
      <c r="M48">
        <v>6000</v>
      </c>
      <c r="N48">
        <v>1500</v>
      </c>
    </row>
    <row r="49" spans="1:14" x14ac:dyDescent="0.3">
      <c r="A49">
        <v>2048</v>
      </c>
      <c r="B49" s="1">
        <v>45339</v>
      </c>
      <c r="C49" t="s">
        <v>14</v>
      </c>
      <c r="D49" t="s">
        <v>15</v>
      </c>
      <c r="E49" t="s">
        <v>16</v>
      </c>
      <c r="F49" t="s">
        <v>17</v>
      </c>
      <c r="G49" t="s">
        <v>18</v>
      </c>
      <c r="H49" t="s">
        <v>64</v>
      </c>
      <c r="I49" t="s">
        <v>33</v>
      </c>
      <c r="J49">
        <v>3</v>
      </c>
      <c r="K49">
        <v>20000</v>
      </c>
      <c r="L49">
        <v>15</v>
      </c>
      <c r="M49">
        <v>51000</v>
      </c>
      <c r="N49">
        <v>7650</v>
      </c>
    </row>
    <row r="50" spans="1:14" x14ac:dyDescent="0.3">
      <c r="A50">
        <v>2049</v>
      </c>
      <c r="B50" s="1">
        <v>45340</v>
      </c>
      <c r="C50" t="s">
        <v>21</v>
      </c>
      <c r="D50" t="s">
        <v>57</v>
      </c>
      <c r="E50" t="s">
        <v>58</v>
      </c>
      <c r="F50" t="s">
        <v>24</v>
      </c>
      <c r="G50" t="s">
        <v>31</v>
      </c>
      <c r="H50" t="s">
        <v>61</v>
      </c>
      <c r="I50" t="s">
        <v>33</v>
      </c>
      <c r="J50">
        <v>3</v>
      </c>
      <c r="K50">
        <v>2500</v>
      </c>
      <c r="L50">
        <v>0</v>
      </c>
      <c r="M50">
        <v>7500</v>
      </c>
      <c r="N50">
        <v>1875</v>
      </c>
    </row>
    <row r="51" spans="1:14" x14ac:dyDescent="0.3">
      <c r="A51">
        <v>2050</v>
      </c>
      <c r="B51" s="1">
        <v>45341</v>
      </c>
      <c r="C51" t="s">
        <v>56</v>
      </c>
      <c r="D51" t="s">
        <v>59</v>
      </c>
      <c r="E51" t="s">
        <v>60</v>
      </c>
      <c r="F51" t="s">
        <v>30</v>
      </c>
      <c r="G51" t="s">
        <v>25</v>
      </c>
      <c r="H51" t="s">
        <v>44</v>
      </c>
      <c r="I51" t="s">
        <v>45</v>
      </c>
      <c r="J51">
        <v>5</v>
      </c>
      <c r="K51">
        <v>4500</v>
      </c>
      <c r="L51">
        <v>10</v>
      </c>
      <c r="M51">
        <v>20250</v>
      </c>
      <c r="N51">
        <v>4050</v>
      </c>
    </row>
    <row r="52" spans="1:14" x14ac:dyDescent="0.3">
      <c r="A52">
        <v>2051</v>
      </c>
      <c r="B52" s="1">
        <v>45342</v>
      </c>
      <c r="C52" t="s">
        <v>46</v>
      </c>
      <c r="D52" t="s">
        <v>22</v>
      </c>
      <c r="E52" t="s">
        <v>23</v>
      </c>
      <c r="F52" t="s">
        <v>24</v>
      </c>
      <c r="G52" t="s">
        <v>25</v>
      </c>
      <c r="H52" t="s">
        <v>44</v>
      </c>
      <c r="I52" t="s">
        <v>45</v>
      </c>
      <c r="J52">
        <v>3</v>
      </c>
      <c r="K52">
        <v>4500</v>
      </c>
      <c r="L52">
        <v>0</v>
      </c>
      <c r="M52">
        <v>13500</v>
      </c>
      <c r="N52">
        <v>2700</v>
      </c>
    </row>
    <row r="53" spans="1:14" x14ac:dyDescent="0.3">
      <c r="A53">
        <v>2052</v>
      </c>
      <c r="B53" s="1">
        <v>45343</v>
      </c>
      <c r="C53" t="s">
        <v>14</v>
      </c>
      <c r="D53" t="s">
        <v>59</v>
      </c>
      <c r="E53" t="s">
        <v>60</v>
      </c>
      <c r="F53" t="s">
        <v>30</v>
      </c>
      <c r="G53" t="s">
        <v>18</v>
      </c>
      <c r="H53" t="s">
        <v>64</v>
      </c>
      <c r="I53" t="s">
        <v>27</v>
      </c>
      <c r="J53">
        <v>4</v>
      </c>
      <c r="K53">
        <v>20000</v>
      </c>
      <c r="L53">
        <v>10</v>
      </c>
      <c r="M53">
        <v>72000</v>
      </c>
      <c r="N53">
        <v>10800</v>
      </c>
    </row>
    <row r="54" spans="1:14" x14ac:dyDescent="0.3">
      <c r="A54">
        <v>2053</v>
      </c>
      <c r="B54" s="1">
        <v>45344</v>
      </c>
      <c r="C54" t="s">
        <v>14</v>
      </c>
      <c r="D54" t="s">
        <v>22</v>
      </c>
      <c r="E54" t="s">
        <v>23</v>
      </c>
      <c r="F54" t="s">
        <v>24</v>
      </c>
      <c r="G54" t="s">
        <v>31</v>
      </c>
      <c r="H54" t="s">
        <v>37</v>
      </c>
      <c r="I54" t="s">
        <v>51</v>
      </c>
      <c r="J54">
        <v>2</v>
      </c>
      <c r="K54">
        <v>1200</v>
      </c>
      <c r="L54">
        <v>0</v>
      </c>
      <c r="M54">
        <v>2400</v>
      </c>
      <c r="N54">
        <v>672</v>
      </c>
    </row>
    <row r="55" spans="1:14" x14ac:dyDescent="0.3">
      <c r="A55">
        <v>2054</v>
      </c>
      <c r="B55" s="1">
        <v>45345</v>
      </c>
      <c r="C55" t="s">
        <v>52</v>
      </c>
      <c r="D55" t="s">
        <v>42</v>
      </c>
      <c r="E55" t="s">
        <v>43</v>
      </c>
      <c r="F55" t="s">
        <v>17</v>
      </c>
      <c r="G55" t="s">
        <v>18</v>
      </c>
      <c r="H55" t="s">
        <v>64</v>
      </c>
      <c r="I55" t="s">
        <v>20</v>
      </c>
      <c r="J55">
        <v>3</v>
      </c>
      <c r="K55">
        <v>20000</v>
      </c>
      <c r="L55">
        <v>10</v>
      </c>
      <c r="M55">
        <v>54000</v>
      </c>
      <c r="N55">
        <v>8100</v>
      </c>
    </row>
    <row r="56" spans="1:14" x14ac:dyDescent="0.3">
      <c r="A56">
        <v>2055</v>
      </c>
      <c r="B56" s="1">
        <v>45346</v>
      </c>
      <c r="C56" t="s">
        <v>56</v>
      </c>
      <c r="D56" t="s">
        <v>28</v>
      </c>
      <c r="E56" t="s">
        <v>29</v>
      </c>
      <c r="F56" t="s">
        <v>30</v>
      </c>
      <c r="G56" t="s">
        <v>18</v>
      </c>
      <c r="H56" t="s">
        <v>62</v>
      </c>
      <c r="I56" t="s">
        <v>45</v>
      </c>
      <c r="J56">
        <v>5</v>
      </c>
      <c r="K56">
        <v>30000</v>
      </c>
      <c r="L56">
        <v>10</v>
      </c>
      <c r="M56">
        <v>135000</v>
      </c>
      <c r="N56">
        <v>24300</v>
      </c>
    </row>
    <row r="57" spans="1:14" x14ac:dyDescent="0.3">
      <c r="A57">
        <v>2056</v>
      </c>
      <c r="B57" s="1">
        <v>45347</v>
      </c>
      <c r="C57" t="s">
        <v>52</v>
      </c>
      <c r="D57" t="s">
        <v>22</v>
      </c>
      <c r="E57" t="s">
        <v>23</v>
      </c>
      <c r="F57" t="s">
        <v>24</v>
      </c>
      <c r="G57" t="s">
        <v>18</v>
      </c>
      <c r="H57" t="s">
        <v>19</v>
      </c>
      <c r="I57" t="s">
        <v>38</v>
      </c>
      <c r="J57">
        <v>5</v>
      </c>
      <c r="K57">
        <v>1500</v>
      </c>
      <c r="L57">
        <v>15</v>
      </c>
      <c r="M57">
        <v>6375</v>
      </c>
      <c r="N57">
        <v>1593.75</v>
      </c>
    </row>
    <row r="58" spans="1:14" x14ac:dyDescent="0.3">
      <c r="A58">
        <v>2057</v>
      </c>
      <c r="B58" s="1">
        <v>45348</v>
      </c>
      <c r="C58" t="s">
        <v>21</v>
      </c>
      <c r="D58" t="s">
        <v>65</v>
      </c>
      <c r="E58" t="s">
        <v>65</v>
      </c>
      <c r="F58" t="s">
        <v>30</v>
      </c>
      <c r="G58" t="s">
        <v>25</v>
      </c>
      <c r="H58" t="s">
        <v>50</v>
      </c>
      <c r="I58" t="s">
        <v>45</v>
      </c>
      <c r="J58">
        <v>5</v>
      </c>
      <c r="K58">
        <v>2500</v>
      </c>
      <c r="L58">
        <v>5</v>
      </c>
      <c r="M58">
        <v>11875</v>
      </c>
      <c r="N58">
        <v>2612.5</v>
      </c>
    </row>
    <row r="59" spans="1:14" x14ac:dyDescent="0.3">
      <c r="A59">
        <v>2058</v>
      </c>
      <c r="B59" s="1">
        <v>45349</v>
      </c>
      <c r="C59" t="s">
        <v>34</v>
      </c>
      <c r="D59" t="s">
        <v>57</v>
      </c>
      <c r="E59" t="s">
        <v>58</v>
      </c>
      <c r="F59" t="s">
        <v>24</v>
      </c>
      <c r="G59" t="s">
        <v>31</v>
      </c>
      <c r="H59" t="s">
        <v>61</v>
      </c>
      <c r="I59" t="s">
        <v>38</v>
      </c>
      <c r="J59">
        <v>4</v>
      </c>
      <c r="K59">
        <v>2500</v>
      </c>
      <c r="L59">
        <v>0</v>
      </c>
      <c r="M59">
        <v>10000</v>
      </c>
      <c r="N59">
        <v>2500</v>
      </c>
    </row>
    <row r="60" spans="1:14" x14ac:dyDescent="0.3">
      <c r="A60">
        <v>2059</v>
      </c>
      <c r="B60" s="1">
        <v>45350</v>
      </c>
      <c r="C60" t="s">
        <v>34</v>
      </c>
      <c r="D60" t="s">
        <v>59</v>
      </c>
      <c r="E60" t="s">
        <v>60</v>
      </c>
      <c r="F60" t="s">
        <v>30</v>
      </c>
      <c r="G60" t="s">
        <v>18</v>
      </c>
      <c r="H60" t="s">
        <v>19</v>
      </c>
      <c r="I60" t="s">
        <v>20</v>
      </c>
      <c r="J60">
        <v>5</v>
      </c>
      <c r="K60">
        <v>1500</v>
      </c>
      <c r="L60">
        <v>5</v>
      </c>
      <c r="M60">
        <v>7125</v>
      </c>
      <c r="N60">
        <v>1781.25</v>
      </c>
    </row>
    <row r="61" spans="1:14" x14ac:dyDescent="0.3">
      <c r="A61">
        <v>2060</v>
      </c>
      <c r="B61" s="1">
        <v>45351</v>
      </c>
      <c r="C61" t="s">
        <v>52</v>
      </c>
      <c r="D61" t="s">
        <v>22</v>
      </c>
      <c r="E61" t="s">
        <v>23</v>
      </c>
      <c r="F61" t="s">
        <v>24</v>
      </c>
      <c r="G61" t="s">
        <v>25</v>
      </c>
      <c r="H61" t="s">
        <v>44</v>
      </c>
      <c r="I61" t="s">
        <v>33</v>
      </c>
      <c r="J61">
        <v>1</v>
      </c>
      <c r="K61">
        <v>4500</v>
      </c>
      <c r="L61">
        <v>15</v>
      </c>
      <c r="M61">
        <v>3825</v>
      </c>
      <c r="N61">
        <v>765</v>
      </c>
    </row>
    <row r="62" spans="1:14" x14ac:dyDescent="0.3">
      <c r="A62">
        <v>2061</v>
      </c>
      <c r="B62" s="1">
        <v>45352</v>
      </c>
      <c r="C62" t="s">
        <v>56</v>
      </c>
      <c r="D62" t="s">
        <v>28</v>
      </c>
      <c r="E62" t="s">
        <v>29</v>
      </c>
      <c r="F62" t="s">
        <v>30</v>
      </c>
      <c r="G62" t="s">
        <v>25</v>
      </c>
      <c r="H62" t="s">
        <v>26</v>
      </c>
      <c r="I62" t="s">
        <v>20</v>
      </c>
      <c r="J62">
        <v>1</v>
      </c>
      <c r="K62">
        <v>25000</v>
      </c>
      <c r="L62">
        <v>0</v>
      </c>
      <c r="M62">
        <v>25000</v>
      </c>
      <c r="N62">
        <v>4500</v>
      </c>
    </row>
    <row r="63" spans="1:14" x14ac:dyDescent="0.3">
      <c r="A63">
        <v>2062</v>
      </c>
      <c r="B63" s="1">
        <v>45353</v>
      </c>
      <c r="C63" t="s">
        <v>55</v>
      </c>
      <c r="D63" t="s">
        <v>22</v>
      </c>
      <c r="E63" t="s">
        <v>23</v>
      </c>
      <c r="F63" t="s">
        <v>24</v>
      </c>
      <c r="G63" t="s">
        <v>18</v>
      </c>
      <c r="H63" t="s">
        <v>40</v>
      </c>
      <c r="I63" t="s">
        <v>38</v>
      </c>
      <c r="J63">
        <v>4</v>
      </c>
      <c r="K63">
        <v>55000</v>
      </c>
      <c r="L63">
        <v>0</v>
      </c>
      <c r="M63">
        <v>220000</v>
      </c>
      <c r="N63">
        <v>44000</v>
      </c>
    </row>
    <row r="64" spans="1:14" x14ac:dyDescent="0.3">
      <c r="A64">
        <v>2063</v>
      </c>
      <c r="B64" s="1">
        <v>45354</v>
      </c>
      <c r="C64" t="s">
        <v>55</v>
      </c>
      <c r="D64" t="s">
        <v>42</v>
      </c>
      <c r="E64" t="s">
        <v>43</v>
      </c>
      <c r="F64" t="s">
        <v>17</v>
      </c>
      <c r="G64" t="s">
        <v>25</v>
      </c>
      <c r="H64" t="s">
        <v>44</v>
      </c>
      <c r="I64" t="s">
        <v>33</v>
      </c>
      <c r="J64">
        <v>1</v>
      </c>
      <c r="K64">
        <v>4500</v>
      </c>
      <c r="L64">
        <v>0</v>
      </c>
      <c r="M64">
        <v>4500</v>
      </c>
      <c r="N64">
        <v>900</v>
      </c>
    </row>
    <row r="65" spans="1:14" x14ac:dyDescent="0.3">
      <c r="A65">
        <v>2064</v>
      </c>
      <c r="B65" s="1">
        <v>45355</v>
      </c>
      <c r="C65" t="s">
        <v>14</v>
      </c>
      <c r="D65" t="s">
        <v>35</v>
      </c>
      <c r="E65" t="s">
        <v>36</v>
      </c>
      <c r="F65" t="s">
        <v>17</v>
      </c>
      <c r="G65" t="s">
        <v>31</v>
      </c>
      <c r="H65" t="s">
        <v>61</v>
      </c>
      <c r="I65" t="s">
        <v>27</v>
      </c>
      <c r="J65">
        <v>2</v>
      </c>
      <c r="K65">
        <v>2500</v>
      </c>
      <c r="L65">
        <v>15</v>
      </c>
      <c r="M65">
        <v>4250</v>
      </c>
      <c r="N65">
        <v>1062.5</v>
      </c>
    </row>
    <row r="66" spans="1:14" x14ac:dyDescent="0.3">
      <c r="A66">
        <v>2065</v>
      </c>
      <c r="B66" s="1">
        <v>45356</v>
      </c>
      <c r="C66" t="s">
        <v>34</v>
      </c>
      <c r="D66" t="s">
        <v>53</v>
      </c>
      <c r="E66" t="s">
        <v>54</v>
      </c>
      <c r="F66" t="s">
        <v>49</v>
      </c>
      <c r="G66" t="s">
        <v>18</v>
      </c>
      <c r="H66" t="s">
        <v>62</v>
      </c>
      <c r="I66" t="s">
        <v>51</v>
      </c>
      <c r="J66">
        <v>2</v>
      </c>
      <c r="K66">
        <v>30000</v>
      </c>
      <c r="L66">
        <v>5</v>
      </c>
      <c r="M66">
        <v>57000</v>
      </c>
      <c r="N66">
        <v>10260</v>
      </c>
    </row>
    <row r="67" spans="1:14" x14ac:dyDescent="0.3">
      <c r="A67">
        <v>2066</v>
      </c>
      <c r="B67" s="1">
        <v>45357</v>
      </c>
      <c r="C67" t="s">
        <v>63</v>
      </c>
      <c r="D67" t="s">
        <v>22</v>
      </c>
      <c r="E67" t="s">
        <v>23</v>
      </c>
      <c r="F67" t="s">
        <v>24</v>
      </c>
      <c r="G67" t="s">
        <v>25</v>
      </c>
      <c r="H67" t="s">
        <v>50</v>
      </c>
      <c r="I67" t="s">
        <v>51</v>
      </c>
      <c r="J67">
        <v>4</v>
      </c>
      <c r="K67">
        <v>2500</v>
      </c>
      <c r="L67">
        <v>10</v>
      </c>
      <c r="M67">
        <v>9000</v>
      </c>
      <c r="N67">
        <v>1980</v>
      </c>
    </row>
    <row r="68" spans="1:14" x14ac:dyDescent="0.3">
      <c r="A68">
        <v>2067</v>
      </c>
      <c r="B68" s="1">
        <v>45358</v>
      </c>
      <c r="C68" t="s">
        <v>41</v>
      </c>
      <c r="D68" t="s">
        <v>47</v>
      </c>
      <c r="E68" t="s">
        <v>48</v>
      </c>
      <c r="F68" t="s">
        <v>49</v>
      </c>
      <c r="G68" t="s">
        <v>31</v>
      </c>
      <c r="H68" t="s">
        <v>32</v>
      </c>
      <c r="I68" t="s">
        <v>33</v>
      </c>
      <c r="J68">
        <v>2</v>
      </c>
      <c r="K68">
        <v>800</v>
      </c>
      <c r="L68">
        <v>5</v>
      </c>
      <c r="M68">
        <v>1520</v>
      </c>
      <c r="N68">
        <v>456</v>
      </c>
    </row>
    <row r="69" spans="1:14" x14ac:dyDescent="0.3">
      <c r="A69">
        <v>2068</v>
      </c>
      <c r="B69" s="1">
        <v>45359</v>
      </c>
      <c r="C69" t="s">
        <v>56</v>
      </c>
      <c r="D69" t="s">
        <v>65</v>
      </c>
      <c r="E69" t="s">
        <v>65</v>
      </c>
      <c r="F69" t="s">
        <v>30</v>
      </c>
      <c r="G69" t="s">
        <v>18</v>
      </c>
      <c r="H69" t="s">
        <v>62</v>
      </c>
      <c r="I69" t="s">
        <v>20</v>
      </c>
      <c r="J69">
        <v>3</v>
      </c>
      <c r="K69">
        <v>30000</v>
      </c>
      <c r="L69">
        <v>10</v>
      </c>
      <c r="M69">
        <v>81000</v>
      </c>
      <c r="N69">
        <v>14580</v>
      </c>
    </row>
    <row r="70" spans="1:14" x14ac:dyDescent="0.3">
      <c r="A70">
        <v>2069</v>
      </c>
      <c r="B70" s="1">
        <v>45360</v>
      </c>
      <c r="C70" t="s">
        <v>34</v>
      </c>
      <c r="D70" t="s">
        <v>47</v>
      </c>
      <c r="E70" t="s">
        <v>48</v>
      </c>
      <c r="F70" t="s">
        <v>49</v>
      </c>
      <c r="G70" t="s">
        <v>18</v>
      </c>
      <c r="H70" t="s">
        <v>62</v>
      </c>
      <c r="I70" t="s">
        <v>27</v>
      </c>
      <c r="J70">
        <v>3</v>
      </c>
      <c r="K70">
        <v>30000</v>
      </c>
      <c r="L70">
        <v>0</v>
      </c>
      <c r="M70">
        <v>90000</v>
      </c>
      <c r="N70">
        <v>16200</v>
      </c>
    </row>
    <row r="71" spans="1:14" x14ac:dyDescent="0.3">
      <c r="A71">
        <v>2070</v>
      </c>
      <c r="B71" s="1">
        <v>45361</v>
      </c>
      <c r="C71" t="s">
        <v>14</v>
      </c>
      <c r="D71" t="s">
        <v>65</v>
      </c>
      <c r="E71" t="s">
        <v>65</v>
      </c>
      <c r="F71" t="s">
        <v>30</v>
      </c>
      <c r="G71" t="s">
        <v>25</v>
      </c>
      <c r="H71" t="s">
        <v>44</v>
      </c>
      <c r="I71" t="s">
        <v>51</v>
      </c>
      <c r="J71">
        <v>5</v>
      </c>
      <c r="K71">
        <v>4500</v>
      </c>
      <c r="L71">
        <v>10</v>
      </c>
      <c r="M71">
        <v>20250</v>
      </c>
      <c r="N71">
        <v>4050</v>
      </c>
    </row>
    <row r="72" spans="1:14" x14ac:dyDescent="0.3">
      <c r="A72">
        <v>2071</v>
      </c>
      <c r="B72" s="1">
        <v>45362</v>
      </c>
      <c r="C72" t="s">
        <v>63</v>
      </c>
      <c r="D72" t="s">
        <v>35</v>
      </c>
      <c r="E72" t="s">
        <v>36</v>
      </c>
      <c r="F72" t="s">
        <v>17</v>
      </c>
      <c r="G72" t="s">
        <v>18</v>
      </c>
      <c r="H72" t="s">
        <v>64</v>
      </c>
      <c r="I72" t="s">
        <v>33</v>
      </c>
      <c r="J72">
        <v>1</v>
      </c>
      <c r="K72">
        <v>20000</v>
      </c>
      <c r="L72">
        <v>15</v>
      </c>
      <c r="M72">
        <v>17000</v>
      </c>
      <c r="N72">
        <v>2550</v>
      </c>
    </row>
    <row r="73" spans="1:14" x14ac:dyDescent="0.3">
      <c r="A73">
        <v>2072</v>
      </c>
      <c r="B73" s="1">
        <v>45363</v>
      </c>
      <c r="C73" t="s">
        <v>52</v>
      </c>
      <c r="D73" t="s">
        <v>42</v>
      </c>
      <c r="E73" t="s">
        <v>43</v>
      </c>
      <c r="F73" t="s">
        <v>17</v>
      </c>
      <c r="G73" t="s">
        <v>18</v>
      </c>
      <c r="H73" t="s">
        <v>19</v>
      </c>
      <c r="I73" t="s">
        <v>38</v>
      </c>
      <c r="J73">
        <v>4</v>
      </c>
      <c r="K73">
        <v>1500</v>
      </c>
      <c r="L73">
        <v>15</v>
      </c>
      <c r="M73">
        <v>5100</v>
      </c>
      <c r="N73">
        <v>1275</v>
      </c>
    </row>
    <row r="74" spans="1:14" x14ac:dyDescent="0.3">
      <c r="A74">
        <v>2073</v>
      </c>
      <c r="B74" s="1">
        <v>45364</v>
      </c>
      <c r="C74" t="s">
        <v>46</v>
      </c>
      <c r="D74" t="s">
        <v>65</v>
      </c>
      <c r="E74" t="s">
        <v>65</v>
      </c>
      <c r="F74" t="s">
        <v>30</v>
      </c>
      <c r="G74" t="s">
        <v>25</v>
      </c>
      <c r="H74" t="s">
        <v>50</v>
      </c>
      <c r="I74" t="s">
        <v>38</v>
      </c>
      <c r="J74">
        <v>2</v>
      </c>
      <c r="K74">
        <v>2500</v>
      </c>
      <c r="L74">
        <v>0</v>
      </c>
      <c r="M74">
        <v>5000</v>
      </c>
      <c r="N74">
        <v>1100</v>
      </c>
    </row>
    <row r="75" spans="1:14" x14ac:dyDescent="0.3">
      <c r="A75">
        <v>2074</v>
      </c>
      <c r="B75" s="1">
        <v>45365</v>
      </c>
      <c r="C75" t="s">
        <v>55</v>
      </c>
      <c r="D75" t="s">
        <v>15</v>
      </c>
      <c r="E75" t="s">
        <v>16</v>
      </c>
      <c r="F75" t="s">
        <v>17</v>
      </c>
      <c r="G75" t="s">
        <v>31</v>
      </c>
      <c r="H75" t="s">
        <v>32</v>
      </c>
      <c r="I75" t="s">
        <v>27</v>
      </c>
      <c r="J75">
        <v>1</v>
      </c>
      <c r="K75">
        <v>800</v>
      </c>
      <c r="L75">
        <v>15</v>
      </c>
      <c r="M75">
        <v>680</v>
      </c>
      <c r="N75">
        <v>204</v>
      </c>
    </row>
    <row r="76" spans="1:14" x14ac:dyDescent="0.3">
      <c r="A76">
        <v>2075</v>
      </c>
      <c r="B76" s="1">
        <v>45366</v>
      </c>
      <c r="C76" t="s">
        <v>46</v>
      </c>
      <c r="D76" t="s">
        <v>22</v>
      </c>
      <c r="E76" t="s">
        <v>23</v>
      </c>
      <c r="F76" t="s">
        <v>24</v>
      </c>
      <c r="G76" t="s">
        <v>31</v>
      </c>
      <c r="H76" t="s">
        <v>61</v>
      </c>
      <c r="I76" t="s">
        <v>38</v>
      </c>
      <c r="J76">
        <v>2</v>
      </c>
      <c r="K76">
        <v>2500</v>
      </c>
      <c r="L76">
        <v>0</v>
      </c>
      <c r="M76">
        <v>5000</v>
      </c>
      <c r="N76">
        <v>1250</v>
      </c>
    </row>
    <row r="77" spans="1:14" x14ac:dyDescent="0.3">
      <c r="A77">
        <v>2076</v>
      </c>
      <c r="B77" s="1">
        <v>45367</v>
      </c>
      <c r="C77" t="s">
        <v>63</v>
      </c>
      <c r="D77" t="s">
        <v>15</v>
      </c>
      <c r="E77" t="s">
        <v>16</v>
      </c>
      <c r="F77" t="s">
        <v>17</v>
      </c>
      <c r="G77" t="s">
        <v>25</v>
      </c>
      <c r="H77" t="s">
        <v>44</v>
      </c>
      <c r="I77" t="s">
        <v>20</v>
      </c>
      <c r="J77">
        <v>3</v>
      </c>
      <c r="K77">
        <v>4500</v>
      </c>
      <c r="L77">
        <v>10</v>
      </c>
      <c r="M77">
        <v>12150</v>
      </c>
      <c r="N77">
        <v>2430</v>
      </c>
    </row>
    <row r="78" spans="1:14" x14ac:dyDescent="0.3">
      <c r="A78">
        <v>2077</v>
      </c>
      <c r="B78" s="1">
        <v>45368</v>
      </c>
      <c r="C78" t="s">
        <v>55</v>
      </c>
      <c r="D78" t="s">
        <v>47</v>
      </c>
      <c r="E78" t="s">
        <v>48</v>
      </c>
      <c r="F78" t="s">
        <v>49</v>
      </c>
      <c r="G78" t="s">
        <v>25</v>
      </c>
      <c r="H78" t="s">
        <v>50</v>
      </c>
      <c r="I78" t="s">
        <v>27</v>
      </c>
      <c r="J78">
        <v>4</v>
      </c>
      <c r="K78">
        <v>2500</v>
      </c>
      <c r="L78">
        <v>0</v>
      </c>
      <c r="M78">
        <v>10000</v>
      </c>
      <c r="N78">
        <v>2200</v>
      </c>
    </row>
    <row r="79" spans="1:14" x14ac:dyDescent="0.3">
      <c r="A79">
        <v>2078</v>
      </c>
      <c r="B79" s="1">
        <v>45369</v>
      </c>
      <c r="C79" t="s">
        <v>52</v>
      </c>
      <c r="D79" t="s">
        <v>28</v>
      </c>
      <c r="E79" t="s">
        <v>29</v>
      </c>
      <c r="F79" t="s">
        <v>30</v>
      </c>
      <c r="G79" t="s">
        <v>31</v>
      </c>
      <c r="H79" t="s">
        <v>61</v>
      </c>
      <c r="I79" t="s">
        <v>51</v>
      </c>
      <c r="J79">
        <v>5</v>
      </c>
      <c r="K79">
        <v>2500</v>
      </c>
      <c r="L79">
        <v>5</v>
      </c>
      <c r="M79">
        <v>11875</v>
      </c>
      <c r="N79">
        <v>2968.75</v>
      </c>
    </row>
    <row r="80" spans="1:14" x14ac:dyDescent="0.3">
      <c r="A80">
        <v>2079</v>
      </c>
      <c r="B80" s="1">
        <v>45370</v>
      </c>
      <c r="C80" t="s">
        <v>52</v>
      </c>
      <c r="D80" t="s">
        <v>15</v>
      </c>
      <c r="E80" t="s">
        <v>16</v>
      </c>
      <c r="F80" t="s">
        <v>17</v>
      </c>
      <c r="G80" t="s">
        <v>18</v>
      </c>
      <c r="H80" t="s">
        <v>19</v>
      </c>
      <c r="I80" t="s">
        <v>27</v>
      </c>
      <c r="J80">
        <v>2</v>
      </c>
      <c r="K80">
        <v>1500</v>
      </c>
      <c r="L80">
        <v>10</v>
      </c>
      <c r="M80">
        <v>2700</v>
      </c>
      <c r="N80">
        <v>675</v>
      </c>
    </row>
    <row r="81" spans="1:14" x14ac:dyDescent="0.3">
      <c r="A81">
        <v>2080</v>
      </c>
      <c r="B81" s="1">
        <v>45371</v>
      </c>
      <c r="C81" t="s">
        <v>55</v>
      </c>
      <c r="D81" t="s">
        <v>65</v>
      </c>
      <c r="E81" t="s">
        <v>65</v>
      </c>
      <c r="F81" t="s">
        <v>30</v>
      </c>
      <c r="G81" t="s">
        <v>25</v>
      </c>
      <c r="H81" t="s">
        <v>44</v>
      </c>
      <c r="I81" t="s">
        <v>20</v>
      </c>
      <c r="J81">
        <v>1</v>
      </c>
      <c r="K81">
        <v>4500</v>
      </c>
      <c r="L81">
        <v>15</v>
      </c>
      <c r="M81">
        <v>3825</v>
      </c>
      <c r="N81">
        <v>765</v>
      </c>
    </row>
    <row r="82" spans="1:14" x14ac:dyDescent="0.3">
      <c r="A82">
        <v>2081</v>
      </c>
      <c r="B82" s="1">
        <v>45372</v>
      </c>
      <c r="C82" t="s">
        <v>63</v>
      </c>
      <c r="D82" t="s">
        <v>57</v>
      </c>
      <c r="E82" t="s">
        <v>58</v>
      </c>
      <c r="F82" t="s">
        <v>24</v>
      </c>
      <c r="G82" t="s">
        <v>18</v>
      </c>
      <c r="H82" t="s">
        <v>19</v>
      </c>
      <c r="I82" t="s">
        <v>38</v>
      </c>
      <c r="J82">
        <v>3</v>
      </c>
      <c r="K82">
        <v>1500</v>
      </c>
      <c r="L82">
        <v>15</v>
      </c>
      <c r="M82">
        <v>3825</v>
      </c>
      <c r="N82">
        <v>956.25</v>
      </c>
    </row>
    <row r="83" spans="1:14" x14ac:dyDescent="0.3">
      <c r="A83">
        <v>2082</v>
      </c>
      <c r="B83" s="1">
        <v>45373</v>
      </c>
      <c r="C83" t="s">
        <v>39</v>
      </c>
      <c r="D83" t="s">
        <v>59</v>
      </c>
      <c r="E83" t="s">
        <v>60</v>
      </c>
      <c r="F83" t="s">
        <v>30</v>
      </c>
      <c r="G83" t="s">
        <v>25</v>
      </c>
      <c r="H83" t="s">
        <v>44</v>
      </c>
      <c r="I83" t="s">
        <v>33</v>
      </c>
      <c r="J83">
        <v>3</v>
      </c>
      <c r="K83">
        <v>4500</v>
      </c>
      <c r="L83">
        <v>0</v>
      </c>
      <c r="M83">
        <v>13500</v>
      </c>
      <c r="N83">
        <v>2700</v>
      </c>
    </row>
    <row r="84" spans="1:14" x14ac:dyDescent="0.3">
      <c r="A84">
        <v>2083</v>
      </c>
      <c r="B84" s="1">
        <v>45374</v>
      </c>
      <c r="C84" t="s">
        <v>63</v>
      </c>
      <c r="D84" t="s">
        <v>57</v>
      </c>
      <c r="E84" t="s">
        <v>58</v>
      </c>
      <c r="F84" t="s">
        <v>24</v>
      </c>
      <c r="G84" t="s">
        <v>31</v>
      </c>
      <c r="H84" t="s">
        <v>37</v>
      </c>
      <c r="I84" t="s">
        <v>27</v>
      </c>
      <c r="J84">
        <v>2</v>
      </c>
      <c r="K84">
        <v>1200</v>
      </c>
      <c r="L84">
        <v>0</v>
      </c>
      <c r="M84">
        <v>2400</v>
      </c>
      <c r="N84">
        <v>672</v>
      </c>
    </row>
    <row r="85" spans="1:14" x14ac:dyDescent="0.3">
      <c r="A85">
        <v>2084</v>
      </c>
      <c r="B85" s="1">
        <v>45375</v>
      </c>
      <c r="C85" t="s">
        <v>14</v>
      </c>
      <c r="D85" t="s">
        <v>57</v>
      </c>
      <c r="E85" t="s">
        <v>58</v>
      </c>
      <c r="F85" t="s">
        <v>24</v>
      </c>
      <c r="G85" t="s">
        <v>18</v>
      </c>
      <c r="H85" t="s">
        <v>19</v>
      </c>
      <c r="I85" t="s">
        <v>27</v>
      </c>
      <c r="J85">
        <v>4</v>
      </c>
      <c r="K85">
        <v>1500</v>
      </c>
      <c r="L85">
        <v>5</v>
      </c>
      <c r="M85">
        <v>5700</v>
      </c>
      <c r="N85">
        <v>1425</v>
      </c>
    </row>
    <row r="86" spans="1:14" x14ac:dyDescent="0.3">
      <c r="A86">
        <v>2085</v>
      </c>
      <c r="B86" s="1">
        <v>45376</v>
      </c>
      <c r="C86" t="s">
        <v>56</v>
      </c>
      <c r="D86" t="s">
        <v>15</v>
      </c>
      <c r="E86" t="s">
        <v>16</v>
      </c>
      <c r="F86" t="s">
        <v>17</v>
      </c>
      <c r="G86" t="s">
        <v>31</v>
      </c>
      <c r="H86" t="s">
        <v>32</v>
      </c>
      <c r="I86" t="s">
        <v>27</v>
      </c>
      <c r="J86">
        <v>1</v>
      </c>
      <c r="K86">
        <v>800</v>
      </c>
      <c r="L86">
        <v>0</v>
      </c>
      <c r="M86">
        <v>800</v>
      </c>
      <c r="N86">
        <v>240</v>
      </c>
    </row>
    <row r="87" spans="1:14" x14ac:dyDescent="0.3">
      <c r="A87">
        <v>2086</v>
      </c>
      <c r="B87" s="1">
        <v>45377</v>
      </c>
      <c r="C87" t="s">
        <v>14</v>
      </c>
      <c r="D87" t="s">
        <v>57</v>
      </c>
      <c r="E87" t="s">
        <v>58</v>
      </c>
      <c r="F87" t="s">
        <v>24</v>
      </c>
      <c r="G87" t="s">
        <v>18</v>
      </c>
      <c r="H87" t="s">
        <v>40</v>
      </c>
      <c r="I87" t="s">
        <v>27</v>
      </c>
      <c r="J87">
        <v>2</v>
      </c>
      <c r="K87">
        <v>55000</v>
      </c>
      <c r="L87">
        <v>5</v>
      </c>
      <c r="M87">
        <v>104500</v>
      </c>
      <c r="N87">
        <v>20900</v>
      </c>
    </row>
    <row r="88" spans="1:14" x14ac:dyDescent="0.3">
      <c r="A88">
        <v>2087</v>
      </c>
      <c r="B88" s="1">
        <v>45378</v>
      </c>
      <c r="C88" t="s">
        <v>41</v>
      </c>
      <c r="D88" t="s">
        <v>59</v>
      </c>
      <c r="E88" t="s">
        <v>60</v>
      </c>
      <c r="F88" t="s">
        <v>30</v>
      </c>
      <c r="G88" t="s">
        <v>25</v>
      </c>
      <c r="H88" t="s">
        <v>26</v>
      </c>
      <c r="I88" t="s">
        <v>27</v>
      </c>
      <c r="J88">
        <v>2</v>
      </c>
      <c r="K88">
        <v>25000</v>
      </c>
      <c r="L88">
        <v>0</v>
      </c>
      <c r="M88">
        <v>50000</v>
      </c>
      <c r="N88">
        <v>9000</v>
      </c>
    </row>
    <row r="89" spans="1:14" x14ac:dyDescent="0.3">
      <c r="A89">
        <v>2088</v>
      </c>
      <c r="B89" s="1">
        <v>45379</v>
      </c>
      <c r="C89" t="s">
        <v>55</v>
      </c>
      <c r="D89" t="s">
        <v>42</v>
      </c>
      <c r="E89" t="s">
        <v>43</v>
      </c>
      <c r="F89" t="s">
        <v>17</v>
      </c>
      <c r="G89" t="s">
        <v>31</v>
      </c>
      <c r="H89" t="s">
        <v>61</v>
      </c>
      <c r="I89" t="s">
        <v>33</v>
      </c>
      <c r="J89">
        <v>5</v>
      </c>
      <c r="K89">
        <v>2500</v>
      </c>
      <c r="L89">
        <v>0</v>
      </c>
      <c r="M89">
        <v>12500</v>
      </c>
      <c r="N89">
        <v>3125</v>
      </c>
    </row>
    <row r="90" spans="1:14" x14ac:dyDescent="0.3">
      <c r="A90">
        <v>2089</v>
      </c>
      <c r="B90" s="1">
        <v>45380</v>
      </c>
      <c r="C90" t="s">
        <v>21</v>
      </c>
      <c r="D90" t="s">
        <v>35</v>
      </c>
      <c r="E90" t="s">
        <v>36</v>
      </c>
      <c r="F90" t="s">
        <v>17</v>
      </c>
      <c r="G90" t="s">
        <v>18</v>
      </c>
      <c r="H90" t="s">
        <v>40</v>
      </c>
      <c r="I90" t="s">
        <v>51</v>
      </c>
      <c r="J90">
        <v>4</v>
      </c>
      <c r="K90">
        <v>55000</v>
      </c>
      <c r="L90">
        <v>0</v>
      </c>
      <c r="M90">
        <v>220000</v>
      </c>
      <c r="N90">
        <v>44000</v>
      </c>
    </row>
    <row r="91" spans="1:14" x14ac:dyDescent="0.3">
      <c r="A91">
        <v>2090</v>
      </c>
      <c r="B91" s="1">
        <v>45381</v>
      </c>
      <c r="C91" t="s">
        <v>52</v>
      </c>
      <c r="D91" t="s">
        <v>28</v>
      </c>
      <c r="E91" t="s">
        <v>29</v>
      </c>
      <c r="F91" t="s">
        <v>30</v>
      </c>
      <c r="G91" t="s">
        <v>18</v>
      </c>
      <c r="H91" t="s">
        <v>62</v>
      </c>
      <c r="I91" t="s">
        <v>20</v>
      </c>
      <c r="J91">
        <v>3</v>
      </c>
      <c r="K91">
        <v>30000</v>
      </c>
      <c r="L91">
        <v>10</v>
      </c>
      <c r="M91">
        <v>81000</v>
      </c>
      <c r="N91">
        <v>14580</v>
      </c>
    </row>
    <row r="92" spans="1:14" x14ac:dyDescent="0.3">
      <c r="A92">
        <v>2091</v>
      </c>
      <c r="B92" s="1">
        <v>45382</v>
      </c>
      <c r="C92" t="s">
        <v>55</v>
      </c>
      <c r="D92" t="s">
        <v>22</v>
      </c>
      <c r="E92" t="s">
        <v>23</v>
      </c>
      <c r="F92" t="s">
        <v>24</v>
      </c>
      <c r="G92" t="s">
        <v>25</v>
      </c>
      <c r="H92" t="s">
        <v>44</v>
      </c>
      <c r="I92" t="s">
        <v>20</v>
      </c>
      <c r="J92">
        <v>1</v>
      </c>
      <c r="K92">
        <v>4500</v>
      </c>
      <c r="L92">
        <v>5</v>
      </c>
      <c r="M92">
        <v>4275</v>
      </c>
      <c r="N92">
        <v>855</v>
      </c>
    </row>
    <row r="93" spans="1:14" x14ac:dyDescent="0.3">
      <c r="A93">
        <v>2092</v>
      </c>
      <c r="B93" s="1">
        <v>45383</v>
      </c>
      <c r="C93" t="s">
        <v>41</v>
      </c>
      <c r="D93" t="s">
        <v>35</v>
      </c>
      <c r="E93" t="s">
        <v>36</v>
      </c>
      <c r="F93" t="s">
        <v>17</v>
      </c>
      <c r="G93" t="s">
        <v>18</v>
      </c>
      <c r="H93" t="s">
        <v>40</v>
      </c>
      <c r="I93" t="s">
        <v>38</v>
      </c>
      <c r="J93">
        <v>4</v>
      </c>
      <c r="K93">
        <v>55000</v>
      </c>
      <c r="L93">
        <v>5</v>
      </c>
      <c r="M93">
        <v>209000</v>
      </c>
      <c r="N93">
        <v>41800</v>
      </c>
    </row>
    <row r="94" spans="1:14" x14ac:dyDescent="0.3">
      <c r="A94">
        <v>2093</v>
      </c>
      <c r="B94" s="1">
        <v>45384</v>
      </c>
      <c r="C94" t="s">
        <v>55</v>
      </c>
      <c r="D94" t="s">
        <v>15</v>
      </c>
      <c r="E94" t="s">
        <v>16</v>
      </c>
      <c r="F94" t="s">
        <v>17</v>
      </c>
      <c r="G94" t="s">
        <v>31</v>
      </c>
      <c r="H94" t="s">
        <v>32</v>
      </c>
      <c r="I94" t="s">
        <v>27</v>
      </c>
      <c r="J94">
        <v>5</v>
      </c>
      <c r="K94">
        <v>800</v>
      </c>
      <c r="L94">
        <v>15</v>
      </c>
      <c r="M94">
        <v>3400</v>
      </c>
      <c r="N94">
        <v>1020</v>
      </c>
    </row>
    <row r="95" spans="1:14" x14ac:dyDescent="0.3">
      <c r="A95">
        <v>2094</v>
      </c>
      <c r="B95" s="1">
        <v>45385</v>
      </c>
      <c r="C95" t="s">
        <v>55</v>
      </c>
      <c r="D95" t="s">
        <v>15</v>
      </c>
      <c r="E95" t="s">
        <v>16</v>
      </c>
      <c r="F95" t="s">
        <v>17</v>
      </c>
      <c r="G95" t="s">
        <v>18</v>
      </c>
      <c r="H95" t="s">
        <v>62</v>
      </c>
      <c r="I95" t="s">
        <v>27</v>
      </c>
      <c r="J95">
        <v>1</v>
      </c>
      <c r="K95">
        <v>30000</v>
      </c>
      <c r="L95">
        <v>0</v>
      </c>
      <c r="M95">
        <v>30000</v>
      </c>
      <c r="N95">
        <v>5400</v>
      </c>
    </row>
    <row r="96" spans="1:14" x14ac:dyDescent="0.3">
      <c r="A96">
        <v>2095</v>
      </c>
      <c r="B96" s="1">
        <v>45386</v>
      </c>
      <c r="C96" t="s">
        <v>34</v>
      </c>
      <c r="D96" t="s">
        <v>59</v>
      </c>
      <c r="E96" t="s">
        <v>60</v>
      </c>
      <c r="F96" t="s">
        <v>30</v>
      </c>
      <c r="G96" t="s">
        <v>25</v>
      </c>
      <c r="H96" t="s">
        <v>50</v>
      </c>
      <c r="I96" t="s">
        <v>38</v>
      </c>
      <c r="J96">
        <v>5</v>
      </c>
      <c r="K96">
        <v>2500</v>
      </c>
      <c r="L96">
        <v>10</v>
      </c>
      <c r="M96">
        <v>11250</v>
      </c>
      <c r="N96">
        <v>2475</v>
      </c>
    </row>
    <row r="97" spans="1:14" x14ac:dyDescent="0.3">
      <c r="A97">
        <v>2096</v>
      </c>
      <c r="B97" s="1">
        <v>45387</v>
      </c>
      <c r="C97" t="s">
        <v>21</v>
      </c>
      <c r="D97" t="s">
        <v>57</v>
      </c>
      <c r="E97" t="s">
        <v>58</v>
      </c>
      <c r="F97" t="s">
        <v>24</v>
      </c>
      <c r="G97" t="s">
        <v>18</v>
      </c>
      <c r="H97" t="s">
        <v>62</v>
      </c>
      <c r="I97" t="s">
        <v>51</v>
      </c>
      <c r="J97">
        <v>1</v>
      </c>
      <c r="K97">
        <v>30000</v>
      </c>
      <c r="L97">
        <v>5</v>
      </c>
      <c r="M97">
        <v>28500</v>
      </c>
      <c r="N97">
        <v>5130</v>
      </c>
    </row>
    <row r="98" spans="1:14" x14ac:dyDescent="0.3">
      <c r="A98">
        <v>2097</v>
      </c>
      <c r="B98" s="1">
        <v>45388</v>
      </c>
      <c r="C98" t="s">
        <v>46</v>
      </c>
      <c r="D98" t="s">
        <v>47</v>
      </c>
      <c r="E98" t="s">
        <v>48</v>
      </c>
      <c r="F98" t="s">
        <v>49</v>
      </c>
      <c r="G98" t="s">
        <v>25</v>
      </c>
      <c r="H98" t="s">
        <v>26</v>
      </c>
      <c r="I98" t="s">
        <v>20</v>
      </c>
      <c r="J98">
        <v>2</v>
      </c>
      <c r="K98">
        <v>25000</v>
      </c>
      <c r="L98">
        <v>5</v>
      </c>
      <c r="M98">
        <v>47500</v>
      </c>
      <c r="N98">
        <v>8550</v>
      </c>
    </row>
    <row r="99" spans="1:14" x14ac:dyDescent="0.3">
      <c r="A99">
        <v>2098</v>
      </c>
      <c r="B99" s="1">
        <v>45389</v>
      </c>
      <c r="C99" t="s">
        <v>56</v>
      </c>
      <c r="D99" t="s">
        <v>53</v>
      </c>
      <c r="E99" t="s">
        <v>54</v>
      </c>
      <c r="F99" t="s">
        <v>49</v>
      </c>
      <c r="G99" t="s">
        <v>25</v>
      </c>
      <c r="H99" t="s">
        <v>44</v>
      </c>
      <c r="I99" t="s">
        <v>27</v>
      </c>
      <c r="J99">
        <v>5</v>
      </c>
      <c r="K99">
        <v>4500</v>
      </c>
      <c r="L99">
        <v>5</v>
      </c>
      <c r="M99">
        <v>21375</v>
      </c>
      <c r="N99">
        <v>4275</v>
      </c>
    </row>
    <row r="100" spans="1:14" x14ac:dyDescent="0.3">
      <c r="A100">
        <v>2099</v>
      </c>
      <c r="B100" s="1">
        <v>45390</v>
      </c>
      <c r="C100" t="s">
        <v>56</v>
      </c>
      <c r="D100" t="s">
        <v>65</v>
      </c>
      <c r="E100" t="s">
        <v>65</v>
      </c>
      <c r="F100" t="s">
        <v>30</v>
      </c>
      <c r="G100" t="s">
        <v>18</v>
      </c>
      <c r="H100" t="s">
        <v>64</v>
      </c>
      <c r="I100" t="s">
        <v>45</v>
      </c>
      <c r="J100">
        <v>5</v>
      </c>
      <c r="K100">
        <v>20000</v>
      </c>
      <c r="L100">
        <v>5</v>
      </c>
      <c r="M100">
        <v>95000</v>
      </c>
      <c r="N100">
        <v>14250</v>
      </c>
    </row>
    <row r="101" spans="1:14" x14ac:dyDescent="0.3">
      <c r="A101">
        <v>2100</v>
      </c>
      <c r="B101" s="1">
        <v>45391</v>
      </c>
      <c r="C101" t="s">
        <v>14</v>
      </c>
      <c r="D101" t="s">
        <v>53</v>
      </c>
      <c r="E101" t="s">
        <v>54</v>
      </c>
      <c r="F101" t="s">
        <v>49</v>
      </c>
      <c r="G101" t="s">
        <v>25</v>
      </c>
      <c r="H101" t="s">
        <v>44</v>
      </c>
      <c r="I101" t="s">
        <v>33</v>
      </c>
      <c r="J101">
        <v>3</v>
      </c>
      <c r="K101">
        <v>4500</v>
      </c>
      <c r="L101">
        <v>0</v>
      </c>
      <c r="M101">
        <v>13500</v>
      </c>
      <c r="N101">
        <v>2700</v>
      </c>
    </row>
  </sheetData>
  <dataValidations count="3">
    <dataValidation type="list" allowBlank="1" showInputMessage="1" showErrorMessage="1" sqref="P2" xr:uid="{ECE559FD-42B7-4136-A1B9-F22FB64568AF}">
      <formula1>$AM$2:$AM$7</formula1>
    </dataValidation>
    <dataValidation type="list" allowBlank="1" showInputMessage="1" showErrorMessage="1" sqref="Q2 Q7 Q11" xr:uid="{C11801A2-61F4-43E1-A9CE-6D3B86FC98C5}">
      <formula1>$AK$1:$AK$3</formula1>
    </dataValidation>
    <dataValidation type="list" allowBlank="1" showInputMessage="1" showErrorMessage="1" sqref="P7 P11" xr:uid="{20192895-05B0-40B9-8540-03C732755318}">
      <formula1>$AJ$8:$AJ$11</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F503-8856-41AC-BB03-D658B35FC8BB}">
  <dimension ref="E1:F15"/>
  <sheetViews>
    <sheetView workbookViewId="0">
      <selection activeCell="F2" sqref="F2"/>
    </sheetView>
  </sheetViews>
  <sheetFormatPr defaultRowHeight="14.4" x14ac:dyDescent="0.3"/>
  <cols>
    <col min="5" max="5" width="16.77734375" customWidth="1"/>
    <col min="6" max="6" width="14.6640625" customWidth="1"/>
  </cols>
  <sheetData>
    <row r="1" spans="5:6" ht="15" thickBot="1" x14ac:dyDescent="0.35">
      <c r="E1" s="2" t="s">
        <v>0</v>
      </c>
      <c r="F1">
        <v>2002</v>
      </c>
    </row>
    <row r="2" spans="5:6" ht="15.6" thickTop="1" thickBot="1" x14ac:dyDescent="0.35">
      <c r="E2" s="3" t="s">
        <v>1</v>
      </c>
      <c r="F2" s="7">
        <f>VLOOKUP($F$1,Table1[],ROW(),TRUE)</f>
        <v>45293</v>
      </c>
    </row>
    <row r="3" spans="5:6" ht="15.6" thickTop="1" thickBot="1" x14ac:dyDescent="0.35">
      <c r="E3" s="3" t="s">
        <v>2</v>
      </c>
      <c r="F3" s="7" t="str">
        <f>VLOOKUP($F$1,Table1[],ROW(),TRUE)</f>
        <v>Neha Gupta</v>
      </c>
    </row>
    <row r="4" spans="5:6" ht="15.6" thickTop="1" thickBot="1" x14ac:dyDescent="0.35">
      <c r="E4" s="3" t="s">
        <v>3</v>
      </c>
      <c r="F4" s="7" t="str">
        <f>VLOOKUP($F$1,Table1[],ROW(),TRUE)</f>
        <v>Mumbai</v>
      </c>
    </row>
    <row r="5" spans="5:6" ht="15.6" thickTop="1" thickBot="1" x14ac:dyDescent="0.35">
      <c r="E5" s="3" t="s">
        <v>4</v>
      </c>
      <c r="F5" s="7" t="str">
        <f>VLOOKUP($F$1,Table1[],ROW(),TRUE)</f>
        <v>Maharashtra</v>
      </c>
    </row>
    <row r="6" spans="5:6" ht="15.6" thickTop="1" thickBot="1" x14ac:dyDescent="0.35">
      <c r="E6" s="3" t="s">
        <v>5</v>
      </c>
      <c r="F6" s="7" t="str">
        <f>VLOOKUP($F$1,Table1[],ROW(),TRUE)</f>
        <v>West</v>
      </c>
    </row>
    <row r="7" spans="5:6" ht="15.6" thickTop="1" thickBot="1" x14ac:dyDescent="0.35">
      <c r="E7" s="3" t="s">
        <v>6</v>
      </c>
      <c r="F7" s="7" t="str">
        <f>VLOOKUP($F$1,Table1[],ROW(),TRUE)</f>
        <v>Furniture</v>
      </c>
    </row>
    <row r="8" spans="5:6" ht="15.6" thickTop="1" thickBot="1" x14ac:dyDescent="0.35">
      <c r="E8" s="3" t="s">
        <v>7</v>
      </c>
      <c r="F8" s="7" t="str">
        <f>VLOOKUP($F$1,Table1[],ROW(),TRUE)</f>
        <v>Sofa</v>
      </c>
    </row>
    <row r="9" spans="5:6" ht="15.6" thickTop="1" thickBot="1" x14ac:dyDescent="0.35">
      <c r="E9" s="3" t="s">
        <v>8</v>
      </c>
      <c r="F9" s="7" t="str">
        <f>VLOOKUP($F$1,Table1[],ROW(),TRUE)</f>
        <v>Simran</v>
      </c>
    </row>
    <row r="10" spans="5:6" ht="15.6" thickTop="1" thickBot="1" x14ac:dyDescent="0.35">
      <c r="E10" s="3" t="s">
        <v>9</v>
      </c>
      <c r="F10" s="7">
        <f>VLOOKUP($F$1,Table1[],ROW(),TRUE)</f>
        <v>2</v>
      </c>
    </row>
    <row r="11" spans="5:6" ht="15.6" thickTop="1" thickBot="1" x14ac:dyDescent="0.35">
      <c r="E11" s="3" t="s">
        <v>10</v>
      </c>
      <c r="F11" s="7">
        <f>VLOOKUP($F$1,Table1[],ROW(),TRUE)</f>
        <v>25000</v>
      </c>
    </row>
    <row r="12" spans="5:6" ht="15.6" thickTop="1" thickBot="1" x14ac:dyDescent="0.35">
      <c r="E12" s="3" t="s">
        <v>11</v>
      </c>
      <c r="F12" s="7">
        <f>VLOOKUP($F$1,Table1[],ROW(),TRUE)</f>
        <v>5</v>
      </c>
    </row>
    <row r="13" spans="5:6" ht="15.6" thickTop="1" thickBot="1" x14ac:dyDescent="0.35">
      <c r="E13" s="3" t="s">
        <v>12</v>
      </c>
      <c r="F13" s="7">
        <f>VLOOKUP($F$1,Table1[],ROW(),TRUE)</f>
        <v>47500</v>
      </c>
    </row>
    <row r="14" spans="5:6" ht="15.6" thickTop="1" thickBot="1" x14ac:dyDescent="0.35">
      <c r="E14" s="4" t="s">
        <v>13</v>
      </c>
      <c r="F14" s="7">
        <f>VLOOKUP($F$1,Table1[],ROW(),TRUE)</f>
        <v>8550</v>
      </c>
    </row>
    <row r="15" spans="5:6" ht="15" thickTop="1" x14ac:dyDescent="0.3"/>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D854861-F66D-4F26-8B21-00F0A1B2C163}">
          <x14:formula1>
            <xm:f>'SALES DATA'!$A$2:$A$101</xm:f>
          </x14:formula1>
          <xm:sqref>F1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1</vt:lpstr>
      <vt:lpstr>Dashboard</vt:lpstr>
      <vt:lpstr>Sheet3</vt:lpstr>
      <vt:lpstr>Sheet4</vt:lpstr>
      <vt:lpstr>Sheet5</vt:lpstr>
      <vt:lpstr>SALES DATA</vt:lpstr>
      <vt:lpstr>VLOOKUP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manikchaudhary8d@outlook.com</cp:lastModifiedBy>
  <dcterms:created xsi:type="dcterms:W3CDTF">2026-04-27T08:08:47Z</dcterms:created>
  <dcterms:modified xsi:type="dcterms:W3CDTF">2026-04-28T12:08:59Z</dcterms:modified>
</cp:coreProperties>
</file>